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Luis Olguin\Downloads\"/>
    </mc:Choice>
  </mc:AlternateContent>
  <bookViews>
    <workbookView xWindow="-120" yWindow="-120" windowWidth="20730" windowHeight="11160" tabRatio="885"/>
  </bookViews>
  <sheets>
    <sheet name="Entrada de Datos" sheetId="2" r:id="rId1"/>
    <sheet name="Tipo de Actividad" sheetId="3" r:id="rId2"/>
    <sheet name="Empresa-Institucion" sheetId="4" r:id="rId3"/>
    <sheet name="Coordinador de la Organización" sheetId="9" r:id="rId4"/>
    <sheet name="Inst-Dpto FCEFN" sheetId="6" r:id="rId5"/>
    <sheet name="Coordinador FCEFN" sheetId="7" r:id="rId6"/>
    <sheet name="Renovacion por meses" sheetId="5" r:id="rId7"/>
    <sheet name="Moneda" sheetId="8" r:id="rId8"/>
    <sheet name="Convenios y Actas" sheetId="1" r:id="rId9"/>
  </sheets>
  <definedNames>
    <definedName name="_xlnm._FilterDatabase" localSheetId="8" hidden="1">'Convenios y Actas'!$A$1:$AA$25</definedName>
    <definedName name="_xlnm._FilterDatabase" localSheetId="0" hidden="1">'Entrada de Datos'!$A$2:$V$11</definedName>
  </definedNames>
  <calcPr calcId="152511"/>
</workbook>
</file>

<file path=xl/calcChain.xml><?xml version="1.0" encoding="utf-8"?>
<calcChain xmlns="http://schemas.openxmlformats.org/spreadsheetml/2006/main">
  <c r="T8" i="2" l="1"/>
  <c r="A7" i="5" l="1"/>
  <c r="A8" i="5" s="1"/>
  <c r="A9" i="5" s="1"/>
  <c r="A10" i="5" s="1"/>
  <c r="A11" i="5" s="1"/>
  <c r="A12" i="5" s="1"/>
  <c r="A13" i="5" s="1"/>
  <c r="A14" i="5" s="1"/>
  <c r="A15" i="5" s="1"/>
  <c r="A16" i="5" s="1"/>
  <c r="A17" i="5" s="1"/>
  <c r="A18" i="5" s="1"/>
  <c r="A19" i="5" s="1"/>
  <c r="A20" i="5" s="1"/>
  <c r="A21" i="5" s="1"/>
  <c r="A22" i="5" s="1"/>
  <c r="A23" i="5" s="1"/>
  <c r="A24" i="5" s="1"/>
  <c r="A25" i="5" s="1"/>
  <c r="A26" i="5" s="1"/>
  <c r="A27" i="5" s="1"/>
  <c r="A28" i="5" s="1"/>
  <c r="A6" i="5"/>
</calcChain>
</file>

<file path=xl/sharedStrings.xml><?xml version="1.0" encoding="utf-8"?>
<sst xmlns="http://schemas.openxmlformats.org/spreadsheetml/2006/main" count="589" uniqueCount="363">
  <si>
    <t>Denominación</t>
  </si>
  <si>
    <t xml:space="preserve">Naturaleza </t>
  </si>
  <si>
    <t>Domicilio</t>
  </si>
  <si>
    <t>Firmas</t>
  </si>
  <si>
    <t>Institutos/Deptos Involucrados</t>
  </si>
  <si>
    <t>Carreras Impactadas</t>
  </si>
  <si>
    <t xml:space="preserve">Cantidad de alumnos involucrados </t>
  </si>
  <si>
    <t>Fecha Firma</t>
  </si>
  <si>
    <t>Vigencia</t>
  </si>
  <si>
    <t xml:space="preserve">Objetivos Generales </t>
  </si>
  <si>
    <t>Objetivos Generales Alcanzados</t>
  </si>
  <si>
    <t>Objetivos Específicos</t>
  </si>
  <si>
    <t>Objetivos Específicos Alcanzados</t>
  </si>
  <si>
    <t>Recursos Humanos, Físicos y Financieros de la Facultad</t>
  </si>
  <si>
    <t>Informe de la Institución</t>
  </si>
  <si>
    <t>Informe Profesor Responsable</t>
  </si>
  <si>
    <t xml:space="preserve">Informe Comisión Evaluadora </t>
  </si>
  <si>
    <t>Ubicación del original</t>
  </si>
  <si>
    <t xml:space="preserve">Observaciones </t>
  </si>
  <si>
    <t>Nº de Expediente</t>
  </si>
  <si>
    <t xml:space="preserve">Ubicación Expediente </t>
  </si>
  <si>
    <t>Nº de Resolución</t>
  </si>
  <si>
    <t xml:space="preserve">Ubicación de copia </t>
  </si>
  <si>
    <t xml:space="preserve">Archivo </t>
  </si>
  <si>
    <t>Carpeta de Resoluciones</t>
  </si>
  <si>
    <t>Caja "Originales"</t>
  </si>
  <si>
    <t>Departamento de Informática</t>
  </si>
  <si>
    <t>Secretaría de Estado de Ciencia, Tecnología e Innovación (SECITI) del Gobierno de la Provincia de San Juan</t>
  </si>
  <si>
    <t>(1 original y copia)</t>
  </si>
  <si>
    <t>Secretaría de Estado de Ambiente y Desarrollo Sustentable del Gobierno de la Provincia de San Juan</t>
  </si>
  <si>
    <t>(2 años)</t>
  </si>
  <si>
    <t xml:space="preserve">Escaneado </t>
  </si>
  <si>
    <t>Escaneado</t>
  </si>
  <si>
    <t>(1 Original)</t>
  </si>
  <si>
    <t>UNSJ: Mitre 396 (este), San Juan, Argentina 
FCEFN: Av. Ignacio de la Roza 590 (oeste), San Juan, Argentina 
SEADyS: Av. Libertador 750 (oeste), San Juan, Argentina</t>
  </si>
  <si>
    <t>UNSJ: Rector Mg. Ing. Tadeo Alberto Berenguer  
FCEFN: Decano Ing. Rodolfo Bloch 
SEADyS: Sr. Francisco Guevara</t>
  </si>
  <si>
    <t>Depto. de Geología</t>
  </si>
  <si>
    <t>2 años</t>
  </si>
  <si>
    <t xml:space="preserve">Difundir resultados científicos, producidos por docentes-investigadores del Departamento de Geología de la UNSJ, de interés para el conjunto de la sociedad sanjuanina.  </t>
  </si>
  <si>
    <t>Edición de ejemplares de la publicación “Requerimientos Hídricos para especies arbóreas del Arbolado Público en los Valles de Tulúm y Ullúm-Zonda de la Provincia de San Juan”</t>
  </si>
  <si>
    <t xml:space="preserve">Autores de la obra: Andrés Ortega Rodríguez, Daniel Germán Flores, Maria Alejandra Pittaluga. </t>
  </si>
  <si>
    <t>Archivero Carpeta Sec. Ambiente y Desarrollo</t>
  </si>
  <si>
    <t>1 Original</t>
  </si>
  <si>
    <t>02-1797-D-21</t>
  </si>
  <si>
    <t>96/2021-CD-FCEFN</t>
  </si>
  <si>
    <t xml:space="preserve">Instituto y Museo de Ciencias Naturales </t>
  </si>
  <si>
    <t xml:space="preserve">Instituto de Informática </t>
  </si>
  <si>
    <t>02-1402-S-19</t>
  </si>
  <si>
    <t>69/2019-CD-FCEFN</t>
  </si>
  <si>
    <t>Acta Complementaria</t>
  </si>
  <si>
    <t xml:space="preserve">Secretaría de Estado de Seguridad y Orden Público </t>
  </si>
  <si>
    <t>UNSJ: Mitre 396 (este), San Juan, Argentina
FCEFN: Av. Ignacio de la Roza 590 (oeste), San Juan, Argentina
SESyOP: Av. Libertador 750 (oeste), San Juan, Argentina</t>
  </si>
  <si>
    <t>UNSJ: Rector Mg. Ing. Tadeo Alberto Berenguer 
FCEFN: Decano Ing. Rodolfo Bloch
SESyOP: Dr. Carlos Ariel Munisaga</t>
  </si>
  <si>
    <t>Unidades Académicas</t>
  </si>
  <si>
    <t>Sin término</t>
  </si>
  <si>
    <t xml:space="preserve">Promover la capacitación del personal del servicio de seguridad de la provincia. </t>
  </si>
  <si>
    <t xml:space="preserve">La Secretaría, a través de la Policía de San Juan se hará cargo del costo de los cursos y capacitaciones acordadas en cada anexo, debiendo abonar cincuenta (50%) por ciento al inicio de cada curso y cincuenta (50%) por ciento restante al finalizar el mismo. </t>
  </si>
  <si>
    <t xml:space="preserve">Plataforma de Sistema Integral de Educación a Distancia (SIED) de la UNSJ. 
Docentes de las Unidades Académicas de la FCEFN </t>
  </si>
  <si>
    <t>(1 original, escaneado)</t>
  </si>
  <si>
    <t>02-1877-S-21</t>
  </si>
  <si>
    <t>86/2021-CD-FCEFN</t>
  </si>
  <si>
    <t>Convenio Específico de Servicio de Asistencia Técnica</t>
  </si>
  <si>
    <t>Empresa Vector Argentina (AUSENCO)</t>
  </si>
  <si>
    <t>UNSJ: Mitre 396 (este), San Juan, Argentina
FCEFN: Av. Ignacio de la Roza 590 (oeste), San Juan, Argentina
Vector: Montevideo 456, 1º piso, Mendoza, Argentina</t>
  </si>
  <si>
    <t>UNSJ: Rector Dr. Ing. Oscar Nasisi
FCEFN: Decano Ing. Rodolfo Bloch
Empresa: Sr. Julio César Nicosia y Walter Curadelli</t>
  </si>
  <si>
    <t>Gabinete de Neotectónica y Geomorfología del Instituto de Geología Dr. E. Aparicio</t>
  </si>
  <si>
    <t>(junio 2021)</t>
  </si>
  <si>
    <t>Realizar el análisis Neotectónico y de amenaza sísimica en el área del Proyecto Pachón, situado en el Departamento de Calingasta.</t>
  </si>
  <si>
    <t>Detección, delimitación y determinación de morfoestructuras con actividad tectónica cuaternaria. 
Análisis de la amenaza sísmica.
Elaboración y entrega de un informe neotectónico preliminar a los 30 días de firmada la presente Acta.</t>
  </si>
  <si>
    <t>La FCEFN conformará un equipo de trabajo a cardo de los Dres. Martín Rothis, María Romina Onorato, Juan Manuel Alcacer Sánchez  y el Lic. Federico Haro, quienes serán asistidos por el geólogo egresado de la FCEFN Lic. Enrique Godoy y el alumno de la Licenciatura de Ciencias Geológicas, Sr. Gonzalo Matías Pérez Ferro</t>
  </si>
  <si>
    <t xml:space="preserve">Encuesta al cliente </t>
  </si>
  <si>
    <t>(1 original, resolución escaneada)</t>
  </si>
  <si>
    <t>Archivo</t>
  </si>
  <si>
    <t xml:space="preserve">Convenio Específico de Asistencia Técnica </t>
  </si>
  <si>
    <t>Secretaría de Estado de Ambiente y Desarrollo Sustentable del Gobierno de la Provincia de San Juan, Municipalidad de Rivadavia, Fundación Bioandina Argentina</t>
  </si>
  <si>
    <t>UNSJ: Mitre 396 (este), San Juan, Argentina
FCEFN: Av. Ignacio de la Roza 590 (oeste), San Juan, Argentina
SEADyS: Av. Libertador 750 (oeste), San Juan, Argentina
Municipalidad: Av. Libertador 5476 (oeste), San Juan, Argentina
Fundación: Juan de Castro (1457), CABA, Argentina.</t>
  </si>
  <si>
    <t>UNSJ: Rector Dr. Ing. Oscar Nasisi
FCEFN: Decano Ing. Rodolfo Bloch
SEADyS: Secretario Lic. Raul Tello
Municipalidad: Intendente Dr. Fabián Martín
Fundación: Presidente Lic. Luis Jácome</t>
  </si>
  <si>
    <t>Depto. de Biología, GISEZA (Gabinete de Investigación de Servicios Ecosistémicos de Zonas Áridas)</t>
  </si>
  <si>
    <t>Acciones conjuntas para evaluar la presencia de cóndores Andinos en el área de manejo de residuos solidos urbanos del Parque de Teconologías Ambientales de San Juan y generar medidas orientadas a evitar su presencia en el sitio asegurando prácticas de manejo.</t>
  </si>
  <si>
    <t>FCEFN: Brindar asesoramiento técnico, acompañamiento en las tareas de campo y equipamiento para el relevamiento de datos. Acompañamiento en tareas de educación y difusión para el fortalecimiento del proyecto.
SEADyS: Colaboración con desarrollo de actividades vinculadas al objeto del Convenio y traslado del personal involucrado.
Municipalidad: Acompañamiento de todas las actividades. 
Fundación: Brindar asesoramiento técnico en lo que respecta al estudio, manejo y conservación del cóndor Andino.</t>
  </si>
  <si>
    <t>SEADyS: Personal Técnico de la Dirección Conservación y Áreas Protegidas y la Dirección del Parque de Tecnologías Ambientales. Coordinación: Dra. Yanina Ripoll y Lic. Ariel Pittavino.
Municipalidad: Equipo técnico (Biólogos, veterinarios y Técnicos en Biología). Coordinación: Med. Vet. Ivan Simoncelli. 
Fundación Coordinación: Biol. Luis Jácome.</t>
  </si>
  <si>
    <t>FCEFN: Docentes, investigadores y estudiantes. Coordinación: Lic. Silvina Adarvez Giovanini</t>
  </si>
  <si>
    <t>(Escaneado, expediente a archivo)</t>
  </si>
  <si>
    <t>02-0810-A-20</t>
  </si>
  <si>
    <t>027/21-CS</t>
  </si>
  <si>
    <t xml:space="preserve">Convenio Específico  </t>
  </si>
  <si>
    <t>Fundación Sadosky (línea A)</t>
  </si>
  <si>
    <t>UNSJ: Mitre 396 (este), San Juan, Argentina
FCEFN: Av. Ignacio de la Roza 590 (oeste), San Juan, Argentina
Fundación: Av. Córdoba 831, CABA</t>
  </si>
  <si>
    <t xml:space="preserve">UNSJ: Rector Mag. Ing. Tadeo Berenguer
Fundación: Director Ej. Dr. Fernando Pablo Schapachnik </t>
  </si>
  <si>
    <t>1 año</t>
  </si>
  <si>
    <t>Cooperación entre la Universidad y la Fundación, para desaroolar el dictado de dos cursos de formación docente sobre didáctica de la programación.</t>
  </si>
  <si>
    <t xml:space="preserve">Enlace institucional y de gestión Flavia Millán. Grupos de Trabajo: 2 grupos, cada uno con un profesor de la Universidad, un jefe de trabajos prácticos y dos ayudantes. </t>
  </si>
  <si>
    <t>Archivero Carpeta Sadosky</t>
  </si>
  <si>
    <t xml:space="preserve">1 copia, escaneado </t>
  </si>
  <si>
    <t>01-2150-D-21</t>
  </si>
  <si>
    <t>Fundación Sadosky (línea B)</t>
  </si>
  <si>
    <t>Desarrollo de actividades en escuelas secundarias, dirigidas a incentivar carreras TIC, por parte de la Universidad.</t>
  </si>
  <si>
    <t>enlace institucional y de gestión Manuel Ortega. Grupo de Trabajo: 3 estudiantes de la Universidad y 1 docente coordinador (Flavia Millan)</t>
  </si>
  <si>
    <t xml:space="preserve">Acta Constitutiva </t>
  </si>
  <si>
    <t xml:space="preserve">Red Regional de Prácticas Socioeducativas de Universidades Públicas - Zona Cuyo </t>
  </si>
  <si>
    <t>Facultad de Filosofía y Letras (UNCuyo) Decano Adolfo Cuello
Faculad de Ciencias Humanas (UNSL) Decana Zulma Ema Perassi
FCEFN (UNSJ) Vicedecana Dra. Natalia Núñez
FAUD (UNSJ) Decano Arq. Efrain Guillermo Velasco</t>
  </si>
  <si>
    <t>Generar espacios de articulación interinstitucional regional que permita el encuentro, la problematización, el debate, el intercambio de experiencias y la generación de ideas y acciones acerca del vínculo universidad y sectores populares en general de las Prácticas Socioeducactivas en particular posicionados en la extensión crítica.</t>
  </si>
  <si>
    <t>1 original</t>
  </si>
  <si>
    <t>Desarrollar el dictado de un curso de formación docente sobre didáctica de la programación en la Provincia de San Juan</t>
  </si>
  <si>
    <t>(1 original, expediente a archivo)</t>
  </si>
  <si>
    <t>02-0289-S-20</t>
  </si>
  <si>
    <t>008/21-CS</t>
  </si>
  <si>
    <t>5 años</t>
  </si>
  <si>
    <t>Archivero Carpeta Sec. Seguridad y O.P.</t>
  </si>
  <si>
    <t>Recursos Humanos y Físicos de la Institución/es</t>
  </si>
  <si>
    <t>Recursos Financieros de la Institución/es</t>
  </si>
  <si>
    <t>Enlace institucional y de gestión Valeria Saieg.</t>
  </si>
  <si>
    <t>Enlace institucional y de gestión Mariano Benet.</t>
  </si>
  <si>
    <t>US$ 10.000</t>
  </si>
  <si>
    <t>Secretaría de Estado de Ciencia, Tecnología e Innovación (SECITI) , EL Ministerio de Salud Pública</t>
  </si>
  <si>
    <t>UNSJ: Mitre 396 (este), San Juan, Argentina 
FCEFN: Av. Ignacio de la Roza 590 (oeste), San Juan, Argentina 
SECITI y Ministerio de Salud Pública: Av. Libertador 750 (oeste), San Juan, Argentina</t>
  </si>
  <si>
    <t>UNSJ: Rector Dr. Ing. Oscar Nasisi
FCEFN: Decano Ing. Rodolfo Bloch 
SECITI: Ing. Tulio Del Bono
Ministerio de S.P.: Dra. Silvia Alejandra Venerando</t>
  </si>
  <si>
    <t>18 meses</t>
  </si>
  <si>
    <t>Subsidio para financiar la contraparte del monto aportado por la SPU para las actividades de investigación, desarrollo e innovación. Desarrollo de aplicación móvil para ser utilizada por el Ministerio</t>
  </si>
  <si>
    <t xml:space="preserve">El Ministerio pondrá a disposición de la Facultad los recursos humanos necesarios para llevar adelante las diferentes partes del proyecto, en particular personal del área de informática del Ministerio y de la Dirección de Planificación del mismo. </t>
  </si>
  <si>
    <t>Equipo de trabajo: Docentes Mg. Sergio Zapata
Mg. Emilio Ormeño
Mg. Raul Klenzi
Alumnos avanzados de carreras de grado de la UNSJ
Egresados de la UNSJ</t>
  </si>
  <si>
    <t xml:space="preserve">Convenio Específico </t>
  </si>
  <si>
    <t>Empresa Accusys Technology SRL</t>
  </si>
  <si>
    <t>UNSJ: Mitre 396 (este), San Juan, Argentina
FCEFN: Av. Ignacio de la Roza 590 (oeste), San Juan, Argentina
Accusys: Reconquista 865 P:7 CABA</t>
  </si>
  <si>
    <t>UNSJ: Mg. Ing. Tadeo Berenguer
FCEFN: Ing. Rodolfo Bloch
Accusys: Luis Goncalves</t>
  </si>
  <si>
    <t>02-69-A-22</t>
  </si>
  <si>
    <t>Archivero Carpeta SECITI</t>
  </si>
  <si>
    <t xml:space="preserve">4 meses </t>
  </si>
  <si>
    <t>La Universidad, a través del Depto. de Informáticda de la FCEFN, se compromete a realziar tareas de investigación y desarrollo en conjunto con La Empresa. Proyectos: Predicciones, último componente.
Uniweb, último componente
Cajas, último componente</t>
  </si>
  <si>
    <t>$6.210.000 ($1.552.500 el día 31/01/22 y 3 cuotas mensuales de $1.552.500 el último día hábil de los meses de febrero, marzo y abril de 2022)</t>
  </si>
  <si>
    <t>Archivero Carpeta Accusys</t>
  </si>
  <si>
    <t xml:space="preserve">1 original </t>
  </si>
  <si>
    <t xml:space="preserve">Coordinadores: Sr. Juan Pablo Pappalardo y Sr. Christian Speltini </t>
  </si>
  <si>
    <t>Coordinadores: Juan Antonio Aranda Romera y Alejandra María Otazú</t>
  </si>
  <si>
    <t>Convenio de Servicio de Asistencia Técnica</t>
  </si>
  <si>
    <t xml:space="preserve">Fundación Sadosky </t>
  </si>
  <si>
    <t>UNSJ: Rector Mag. Ing. Tadeo Berenguer
FCEFN: Decano Ing. Rodolfo Bloch
Fundación: Director Ej. Dr. Esteban Feuerstein</t>
  </si>
  <si>
    <t>$ 313.306 (pago inicial de $93.992, un pago del 30% del total: $93.992 y un pago del 40% restante: $125.322 al finalizar)</t>
  </si>
  <si>
    <t xml:space="preserve">Grupo de Trabajo: 1 profesor de la Facultado, 1 Jefe de Trabajos Prácticos y 2 ayudantes. </t>
  </si>
  <si>
    <t>Adenda</t>
  </si>
  <si>
    <t>Municipalidad de Calingasta y Cámara Minera de San Juan</t>
  </si>
  <si>
    <t>UNSJ: Mitre 396 (este), San Juan, Argentina
FCEFN: Av. Ignacio de la Roza 590 (oeste), San Juan, Argentina
Municipalidad: Lavalle 111 sur, Tamberías, Calingasta, San Juan, Argentina.
Cámara Minera: Esteban Echeverría sur 526, San Juan, Argentina.</t>
  </si>
  <si>
    <t>UNSJ: Mag. Ing. Tadeo Berenguer
FCEFN: Ing. Rodolfo Bloch
Municipalidad: Don Jorge Cipriano Castañeda
Cámara Minera: Vicepresidente Ing. Raul Cabanay</t>
  </si>
  <si>
    <t xml:space="preserve">La Facultad a través del Depto. de Geología proveerá el personal docente responsable del dictado de la totalidad de las materias. Las Cámara se compromete a financiar y poner a disposición de la UNSJ los fondos relativos al curso de infreso y dictado de la Tecnicatura Universitaria en Exploración Geológica, traslado de docentes y personal administrativo. El municipio se compromete a proporcionar alojamiento y comida para el personal. y las instalaciones para el dictado de clases. </t>
  </si>
  <si>
    <t>$216.000 (Cámara Minera)</t>
  </si>
  <si>
    <t>Archivero Carpeta Cámara Minera</t>
  </si>
  <si>
    <t>Rectorado va a realizar expediente</t>
  </si>
  <si>
    <t>123/21-CS</t>
  </si>
  <si>
    <t>02-0254-S-21</t>
  </si>
  <si>
    <t xml:space="preserve">Acta Complementaria de Prácticas Profesionales Asistidas </t>
  </si>
  <si>
    <t>Ministerio de Minería de la Provincia de San Juan, Empresa Golden Mining</t>
  </si>
  <si>
    <t>Ciencias Geológicas</t>
  </si>
  <si>
    <t>(Aun no se firma)</t>
  </si>
  <si>
    <t xml:space="preserve">Implementar Practicas Profesionales Asistidas con la finalidad de contribuir en la formación académica y capacitación de alumnos de grado, otorgándoles la posibilidad de obtener conocimientos, prácticas y herramientas propias del ejercicio de la función como profesiona geólogo. </t>
  </si>
  <si>
    <t xml:space="preserve">Acta Complementaria  </t>
  </si>
  <si>
    <t xml:space="preserve">Acciones conjuntas y de colaboración mutua, referentes al estudio y análisis macroscópico y microscópico de rocas del área del Proyecto Hualilán, Departamento de Ullúm, Provincia de San Juan </t>
  </si>
  <si>
    <t>02-0130-D-2021</t>
  </si>
  <si>
    <t>15-2021-CD-FCEFN</t>
  </si>
  <si>
    <t>Convenio Específico de Prácticas Profesionales Situadas No Rentadas</t>
  </si>
  <si>
    <t>Empresa WES S.A.S.</t>
  </si>
  <si>
    <t xml:space="preserve">Acciones conjuntas a efectos de llevar a cabo prácticas profesionales situadas no rentadas, como parte de la capacitación de los estudiantes que cursan las asignaturas Optativa I y II "Práctica Profesional Situada" de las Carreras Lic. En Sistemas de Infrmación y Cs de la Computación del Depto de Informática de la FCEFN y así tomar contacto con la aplicación de tecnologías actualizadas, contribuyendo así a facilitar la etapa de transición entre lo educacional y lo laboral, acción que contribuirá a una formación integral de los mismos. </t>
  </si>
  <si>
    <t xml:space="preserve">Acta Interfacultades </t>
  </si>
  <si>
    <t>INGEO, IIAM</t>
  </si>
  <si>
    <t>02-1224-I-21</t>
  </si>
  <si>
    <t>87/2021-CD-FCEFN</t>
  </si>
  <si>
    <t>$ 216000,00 (del que corresponden como contribución económica para cada uno de los practicantes un monto de $ 1800,00 por día)</t>
  </si>
  <si>
    <t>2 meses</t>
  </si>
  <si>
    <t>02-1912-D-2019</t>
  </si>
  <si>
    <t xml:space="preserve">Acta Compromiso </t>
  </si>
  <si>
    <t>Escuela Universitaria de Ciencias de la Salud
Facultad de Arquitectura Urbanismo y Diseño</t>
  </si>
  <si>
    <t>EUCS: Rawson 1850, Albardón
FAUD: Av. Ignacio de la Roza 590 (O)
FCEFN: Av. Ignacio de la Roza 590 (O)</t>
  </si>
  <si>
    <t>EUCS: Director Lic. Angel Pinto
FAUD: Decano Arq. Efrain Guillermo Velasco
FCEFN: Vicedecana Dra. Natalia Nuñez</t>
  </si>
  <si>
    <t xml:space="preserve">Implementar en el ámbito de la UNSJ la Diplomatura en Extensión Universitaria en Prácticas Socioeducativas, contenidos formativos en el desarrollo de un trayecto curricular, de abordaje interdisciplinario y en trabajo conjunto con diferentes territorios. </t>
  </si>
  <si>
    <t>Coordinadores: Diplomado D.G. Cristian F. Marín Gómez
Diplomada Esp. Arq. A. Lorena Platero
Comité Organizador: Dra. Ana Naranjo, Prof. Patricia Asunto, D.I.G. Eliana Perniche, D.G. Cristian Marín, Esp. Arq. Ana Lorena Platero
Unidad Académica Responsable: FAUD</t>
  </si>
  <si>
    <t>Recursos Financieros de la Facultad</t>
  </si>
  <si>
    <t>EUCS: $200.000
FCEFN: $200.000
FAUD: $200.000</t>
  </si>
  <si>
    <t>Archivero (Facultades- UNSJ)</t>
  </si>
  <si>
    <t>02-508-S-22</t>
  </si>
  <si>
    <t>19/2022-CD-FCEFN</t>
  </si>
  <si>
    <t>Facultad de Filosofía Humanidades y Artes
Secretaría de Ciencia y Técnica de la UNSJ</t>
  </si>
  <si>
    <t>FFHA: Av. Ignacio de la Roza 230 (O), Capital, San Juan
FCEFN: Av. Ignacio de la Roza 590 (O)
Sec. Ciencia y Técnica UNSJ: Mitre 396 (este) San Juan, Argentina</t>
  </si>
  <si>
    <t>FFHA: Decana Mgter. Myriam Mabel Arrabal
FCEFN: Decano Ing. Rodolfo Herman Bloch
SCT-UNSJ: Dr. Ing. Eric Laciar Leber</t>
  </si>
  <si>
    <t xml:space="preserve">Dos años </t>
  </si>
  <si>
    <t xml:space="preserve">Promover las actividades académicas, científicas, tecnológicas y culturales en favor de las investigaciones geológicas y arqueológicas de diversos espacios de la Provincia de San Juan </t>
  </si>
  <si>
    <t>Coordinadores: Mag. Esp. Claudia Mallea (IIAM)
Lic. Esteban Pelegrina (INGEO)
Personas que intervienen por IIAM: Esp. Lorena M. Vanesa Ré, Prof. Gladys González Cívico, Vanesa Diguilmi y Maira Cejas (alumnas pasantes)
Intervienen por el INGEO: Dra. Ana Paula Forte, Dra. Brígida Castro, Lic. Esteban Pelegrina, Dra. Flavia Tejada, Lic. Sandra Pontoriero</t>
  </si>
  <si>
    <t xml:space="preserve">Acta Complementaria </t>
  </si>
  <si>
    <t xml:space="preserve">Municipalidad de Rawson </t>
  </si>
  <si>
    <t xml:space="preserve">UNSJ: Mitre 396 (este), San Juan, Argentina
FCEFN: Av. Ignacio de la Roza 590 (oeste), San Juan, Argentina
Municipalidad: Boulevard Sarmiento Oeste 474, Villa Krause, San Juan </t>
  </si>
  <si>
    <t xml:space="preserve">UNSJ: Rector Mg. Ing. Tadeo Alberto Berenguer 
FCEFN: Decano Ing. Rodolfo Bloch
Municipalidad: Intendente Sergio Ruben García Alonso </t>
  </si>
  <si>
    <t>Centro Tecnológico Educativo</t>
  </si>
  <si>
    <t>Dar inicio al proyecto EU61-UNSJ15733 - Competencias Digitales Rawson, cuyo financiamiento parcial corresponde a la Secretaría de Políticas Universitarias del Ministerio de Educación.</t>
  </si>
  <si>
    <t>Responsable por FCEFN: Ing. Américo Sirvente
Responsablepor Municipalidad la Sra. Secretaria de Deporte, Cultura y Educación Susana Fernández</t>
  </si>
  <si>
    <t>Municipalidad proporcionará espacio físico para el dictado de talleres y conferencias</t>
  </si>
  <si>
    <t>Archivero Municipalidad de Rawson</t>
  </si>
  <si>
    <t>02-0157-S-22</t>
  </si>
  <si>
    <t>03/2022-CD-FCEFN</t>
  </si>
  <si>
    <t xml:space="preserve">Municipalidad de Pocito </t>
  </si>
  <si>
    <t xml:space="preserve">UNSJ: Mitre 396 (este), San Juan, Argentina
FCEFN: Av. Ignacio de la Roza 590 (oeste), San Juan, Argentina
Municipalidad: </t>
  </si>
  <si>
    <t>UNSJ: Rector Mg. Ing. Tadeo Alberto Berenguer 
FCEFN: Decano Ing. Rodolfo Bloch
Municipalidad: Intendente Armando Sanchez</t>
  </si>
  <si>
    <t>Dar inicio al proyecto EU61-UNSJ14438 - Competencias Digitales Pocito, cuyo financiamiento parcial corresponde a la Secretaría de Políticas Universitarias del Ministerio de Educación.</t>
  </si>
  <si>
    <t>Responsable por FCEFN: Ing. Américo Sirvente
Responsablepor Municipalidad la Sra. Lucía Norma Altamirano</t>
  </si>
  <si>
    <t xml:space="preserve">Archivero Municipalidad de Pocito </t>
  </si>
  <si>
    <t>02-0155-S-22</t>
  </si>
  <si>
    <t>02/2022-CD-FECFN</t>
  </si>
  <si>
    <t xml:space="preserve">Acta Complemetaria </t>
  </si>
  <si>
    <t>Municipalidad de Chimbas</t>
  </si>
  <si>
    <t>UNSJ: Mitre 396 (este), San Juan, Argentina
FCEFN: Av. Ignacio de la Roza 590 (oeste), San Juan, Argentina
Municipalidad: Remedios de Escalada de San Martin Oeste y San Martin Norte, Villa Paula Albarracín de Sarmiento, San Juan</t>
  </si>
  <si>
    <t xml:space="preserve">UNSJ: Rector Mg. Ing. Tadeo Alberto Berenguer 
FCEFN: Decano Ing. Rodolfo Bloch
Municipalidad: Intendente Sr. Fabián Gramajo </t>
  </si>
  <si>
    <t>Dar inicio al proyecto EU61-UNSJ15691 - Competencias Digitales Chimbas, cuyo financiamiento parcial corresponde a la Secretaría de Políticas Universitarias del Ministerio de Educación.</t>
  </si>
  <si>
    <t xml:space="preserve">Responsable por FCEFN: Ing. Américo Sirvente
Responsablepor Municipalidad la Sra. Carolina Fernandez </t>
  </si>
  <si>
    <t>Archivero Municipalidad de Chimbas</t>
  </si>
  <si>
    <t>02-0156-S-22</t>
  </si>
  <si>
    <t>04/2022-CD-FCEFN</t>
  </si>
  <si>
    <t>UNSJ: Mitre 396 (este), San Juan, Argentina 
FCEFN: Av. Ignacio de la Roza 590 (oeste), San Juan, Argentina 
SECITI: Libertador 750 (o) Centro Cívico, San Juan</t>
  </si>
  <si>
    <t>UNSJ: Mag. Ing. Tadeo Alberto Berenguer
FCEFN: Ing. Rodolfo H. Bloch 
SECITI: Ing. Tulio del Bono</t>
  </si>
  <si>
    <t xml:space="preserve">Campañas de exploración paleontológicas en el ámbito de la Provincia de San Juan
Aumentar el valor paleontológico de la Provincia de San Juan incrementando el número de especies de dinosaurios y otros fósiles conocidos </t>
  </si>
  <si>
    <t xml:space="preserve">1. Descubrir, extraer y estudiar nuevos fósiles, especialmente dinosaurios, en todo el territorio de la Provincia de San Juan 
2. Descubrir nuevos yacimientos paleontológicos en la Provincia de San Juan. 
3. Incrementar el altísimo valor patrimonial de la colección de vertebrados fósiles de la P. San Juan
4. Ampliar los contenidos y mantener la vigencia del futuro Museo Paleontológico que se está construyendo en el predio ferial. 
5. Publicitar a la provincia de San Juan por medio de los nuevos hallazgos y su cobertura mediática internacional. </t>
  </si>
  <si>
    <t xml:space="preserve">Director Responsable: Dr. Ricardo Martínez
Equipo de Investigación: Dra. Cecilia Apaldetti
Dra. Carina Colombi
Dr. Gustavo Correa
Dra. Paula Santi Malnis
Lic. Imanol Yañez
Lic. Lisandro López
Dr. Juan Drovandi
Equipo Técnico
Tec. Diego Abelín
Tec. Raúl Gordillo
Prof. Claudia Díaz
</t>
  </si>
  <si>
    <t>(1 Original y Decreto Nro. 0387 - SECITI-22)</t>
  </si>
  <si>
    <t>UNSJ: Mag. Ing. Tadeo Alberto Berenguer
FCEFN: Ing. Rodolfo H. Bloch 
SECITI: Mg. Ing. María Verónica Benavente</t>
  </si>
  <si>
    <t>Realizar gestiones necesarias para remitir las muestras a los laboratorios que se estimen más convenientes, según criterio científicamente fundado, en los que se realicen Dataciones Absolutas mediante análisis radimétricos de Uranio/Plomo de rocas volcánicas y/o circón detrítico, método de datación aceptado para publicaciones científicas.</t>
  </si>
  <si>
    <t>Archivero Caja SECITI</t>
  </si>
  <si>
    <t>(1 Original y Decreto Nro. 0615-SECITI-2022</t>
  </si>
  <si>
    <t>Facultad de Filosofía Humanidades y Artes</t>
  </si>
  <si>
    <t>FFHA: Av. Ignacio de la Roza 230 (O), Capital, San Juan
FCEFN: Av. Ignacio de la Roza 590 (O)</t>
  </si>
  <si>
    <t>FFHA: Decana Mgter. Myriam Mabel Arrabal
FCEFN: Decano Ing. Rodolfo Herman Bloch</t>
  </si>
  <si>
    <t>Depto. de Geofísica y Astronomía</t>
  </si>
  <si>
    <t>Promover actividades de carácter académico, técnico, científico y/o de investigación en el área de la Física y Química que tengan relación directa con la FFHA y el Depto de Geofísica y Astronomía de la FCEFN. Laboratorios.</t>
  </si>
  <si>
    <t>02-415-D-22</t>
  </si>
  <si>
    <t xml:space="preserve">Dir. De Relaciones con el Medio </t>
  </si>
  <si>
    <t>49/2022-CD-FCEFN</t>
  </si>
  <si>
    <t>Gobierno de la Provincia de San Juan, a través del Consejo de Coordinación para la protección de Glaciares</t>
  </si>
  <si>
    <t>UNSJ: Mitre 396 (este), San Juan, Argentina 
FCEFN: Av. Ignacio de la Roza 590 (oeste), San Juan, Argentina 
Gobierno San Juan: Paula Albarracìn de Sarmiento 134 norte, Capital</t>
  </si>
  <si>
    <t>UNSJ: Dr. Ing. Oscar Nasisi 
FCEFN: Ing. Rodolfo Bloch
Gobernador de la Provincia de San Juan: Dr. Sergio Uñac 
Sec. De Estado de Ambiente y Desarrollo Sustentable: Lic. Domingo Raúl Tello</t>
  </si>
  <si>
    <t>6 meses</t>
  </si>
  <si>
    <t>Validar el trabajo del inventario basado en imágenes satelitales
Ajustar y desarrollar nuevos mapas y gráficos que permitan interpretar las condiciones particulares del ambiente periglacial
Definir programas de monitoreo en detalle para los próximos cinco años</t>
  </si>
  <si>
    <t xml:space="preserve">Elaboración del Informe Final, según nuevo Plan de Trabajo, del Inventario Provincial de Glaciares, Cuenca del Río San Juan. 
Verificar "in situ" las crioformas en proceso de se incorporadas al Inventario de la FCEFN de la UNSJ que puedan no haber sido identificadas por trabajos de otros entes públicos o privados y/o que hayan sido inventariadas por sólo una de las instituciones ejecutoras, IANIGLA o FCEFN. </t>
  </si>
  <si>
    <t>Coordinador General: Lic. En Geología Horacio Puigdomenech
Dirección Científica: Mag. En Desarrollo de Proyectos, Geocientífico Senior, Silvio Pastore
Coordinador de Logística: Lic. En Geología Gustavo Pezanni
Procesamiento de Imágenes Satelitales - Sistema de Información Geográfica: Ing. Agrimensora, Esp. en SIG y Procesamiento de IS, Gabriela Alvarez Parma</t>
  </si>
  <si>
    <t>Las actividades para la ejecución de esta Adenda no significarán costos adicionales a la Provincia</t>
  </si>
  <si>
    <t>escaneado</t>
  </si>
  <si>
    <t>Convenio Marco de Cooperación</t>
  </si>
  <si>
    <t>Universidad Nacional de Tierra del Fuego, Antártida e Islas del Atlántico Sur</t>
  </si>
  <si>
    <t>UNSJ: Mitre 396 (este), San Juan, Argentina
UNTDF: Fuegia Basket Nº 251 CP 9410, Usuahia, Tierra del Fuego</t>
  </si>
  <si>
    <t>UNSJ: Dr. Ing. Oscar Nasisi
UNTDF: Ing. Juan José Castelucci</t>
  </si>
  <si>
    <t>Implementar, según se estime conveniente, acciones tendientes a desarrollar en forma conjunta, proyectos de carácter académico, centífico, tecnológico, social y cultural, para beneficio de ambas instituciones</t>
  </si>
  <si>
    <t>Hasta que alguna de las partes manifieste su voluntad de rescindirlo</t>
  </si>
  <si>
    <t>UNSJ: Mitre 396 (este), San Juan, Argentina
FCEFN: Av. Ignacio de la Roza 590 (oeste), San Juan, Argentina
WES S.A.S.: Pedro de Valdivia € 370, Trinidad, CP 5400</t>
  </si>
  <si>
    <t>UNSJ: Mg. Ing. Tadeo Berenguer
FCEFN: Ing. Rodolfo Bloch
WES S.A.S.: Daniel Baca (CEO WES)</t>
  </si>
  <si>
    <t>Depto. de Informática</t>
  </si>
  <si>
    <t>12 meses (renovables automáticamente)</t>
  </si>
  <si>
    <t xml:space="preserve">La Facultad tendrá a su cargo brindar la cobertura de un seguro por Responsabilidad Civil, en beneficio de los practicantes, cuyo pago de la póliza correrá por su exclusiva cuenta y cargo. </t>
  </si>
  <si>
    <t>02-0835-S-20</t>
  </si>
  <si>
    <t>Acta complementaria</t>
  </si>
  <si>
    <t>Nro Expte</t>
  </si>
  <si>
    <t>Nro Resolucion</t>
  </si>
  <si>
    <t>Fecha Inicio</t>
  </si>
  <si>
    <t>Fecha Fin</t>
  </si>
  <si>
    <t>Objetivo General</t>
  </si>
  <si>
    <t>Tipo de Actividad</t>
  </si>
  <si>
    <t>Secretaría de Estado de Seguridad y Orden Público</t>
  </si>
  <si>
    <t>Red Regional de Prácticas Socioeducativas de Universidades Públicas - Zona Cuyo</t>
  </si>
  <si>
    <t>Empresa Golden Mining</t>
  </si>
  <si>
    <t xml:space="preserve">INSTITUTO/DEPTO/GABINETE DE LA FCEFN </t>
  </si>
  <si>
    <t xml:space="preserve"> DATO 1</t>
  </si>
  <si>
    <t>DATO 2</t>
  </si>
  <si>
    <t>No corresponde</t>
  </si>
  <si>
    <t xml:space="preserve">Coordinador designado por la FCEFN </t>
  </si>
  <si>
    <t>Silvina Adarvez Giovanini</t>
  </si>
  <si>
    <t>Flavia Millán</t>
  </si>
  <si>
    <t>Manuel Ortega</t>
  </si>
  <si>
    <t>Juan Antonio Aranda Romera</t>
  </si>
  <si>
    <t>Alejandra María Otazú</t>
  </si>
  <si>
    <t>Claudia Mallea</t>
  </si>
  <si>
    <t>Esteban Pelegrina</t>
  </si>
  <si>
    <t>Américo Sirvente</t>
  </si>
  <si>
    <t>Coordinador designado por la Organización</t>
  </si>
  <si>
    <t>Renovacion Automática x Meses</t>
  </si>
  <si>
    <t>No Corresponde</t>
  </si>
  <si>
    <t>Empresa/Organización/Institución Interviniente</t>
  </si>
  <si>
    <t>DATO 3</t>
  </si>
  <si>
    <t>Importe total</t>
  </si>
  <si>
    <t>Moneda</t>
  </si>
  <si>
    <t>Pesos</t>
  </si>
  <si>
    <t>Dolares</t>
  </si>
  <si>
    <t>Peso Chileno</t>
  </si>
  <si>
    <t>Euros</t>
  </si>
  <si>
    <t>Yen</t>
  </si>
  <si>
    <t>Observaciones (ej. Forma de pago)</t>
  </si>
  <si>
    <t>Datos de la Actividad</t>
  </si>
  <si>
    <t>R65/22</t>
  </si>
  <si>
    <t>Formalizar actividades Científicas, Técnicas y de Extensión entre LAS FACULTADES en el marco del proyecto de extensión denominado “Geoparque Cerro de Valdivia: Acciones estratégicas participativas para su desarrollo”. Aprobado por Resolución -2022-32-APN-SECPU-ME como continuidad de Proyecto “Propuesta de Creación del Geoparque Cerro de Valdivia (Pocito). Una nueva alternativa al turismo tradicional”</t>
  </si>
  <si>
    <t>Consejo de Coordinación para la protección de Glaciares</t>
  </si>
  <si>
    <t>Dinia Schmitter De Salvo</t>
  </si>
  <si>
    <t xml:space="preserve">Daniela Ramírez </t>
  </si>
  <si>
    <t>Mariano Carmona</t>
  </si>
  <si>
    <t>UCC FCQyT</t>
  </si>
  <si>
    <t>INGEO</t>
  </si>
  <si>
    <t>GISEZA (Gabinete de Investigación de Servicios Ecosistémicos de Zonas Áridas)</t>
  </si>
  <si>
    <t>Departamento de Biología</t>
  </si>
  <si>
    <t>Departamento  de Geología</t>
  </si>
  <si>
    <t>IdeI</t>
  </si>
  <si>
    <t>Sin erogación</t>
  </si>
  <si>
    <t>R51/21</t>
  </si>
  <si>
    <t>Empresa Yaman Gold</t>
  </si>
  <si>
    <t>Gabinete de Geología Económica INGEO</t>
  </si>
  <si>
    <t>Gabriela Torres</t>
  </si>
  <si>
    <t>Municipalidad de Rivadavia</t>
  </si>
  <si>
    <t>Fundación Bioandina Argentina</t>
  </si>
  <si>
    <t>Secretaría de Estado de Ciencia, Tecnología e Innovación (SECITI)</t>
  </si>
  <si>
    <t>Servicio a Terceros (ST) solicitado por la EMPRESA a la FACULTAD, conducente a realizar la Descripción Petrográfica de muestras provistas por la EMPRESA, pertenecientes al proyecto minero Las Flechas y Evelina, situado en la provincia de San Juan</t>
  </si>
  <si>
    <t>R85/21</t>
  </si>
  <si>
    <t>Generar un marco de colaboración en actividades de mutuo interés por su trascendencia social, cultural y educativa de estudiantes y profesionales de las Ciencias Biológicas</t>
  </si>
  <si>
    <t>Colegio Profesional de Ciencias Biológicas</t>
  </si>
  <si>
    <t>Empresa Compañía Minera Piuquenes S.A.</t>
  </si>
  <si>
    <t>R88/21</t>
  </si>
  <si>
    <t>Servicio a Terceros (ST) solicitado por la EMPRESA a la FACULTAD, conducente a realizar el estudio de geoformas glaciales, periglaciales y peligros geológicos en el proyecto minero Piuquenes, situado en el departamento de Calingasta, provincia de San Juan</t>
  </si>
  <si>
    <t>Gabinete de Neotectónica y Geomorfología INGEO</t>
  </si>
  <si>
    <t>Laura Peruca</t>
  </si>
  <si>
    <t>9000 u$s + u$s600 salida a campo. 50% a la firma y 50% a la entrega de informe</t>
  </si>
  <si>
    <t>Las partes acuerdan en iniciar formalmente el proyecto EU61-UNSJ15733 Competencias digitales Rawson, cuyo financiamiento parcialcorresponde a la Secretaría de Políticas Universitarias del Ministerio de Educación</t>
  </si>
  <si>
    <t>Aportes de SPU</t>
  </si>
  <si>
    <t>R19/22</t>
  </si>
  <si>
    <t>Aprobar la “DIPLOMATURA DE EXTENSIÓN EN PRÁCTICAS SOCIOEDUCAT1VAS”. a realizar en conjunto entre la Facultad de Arquitectura. Urbanismo y Diseño, la Facultad de Ciencias Exactas. Físicas y Naturales y la Escuela Universitaria de Ciencias para la Salud, de la Universidad Nacional de San Juan</t>
  </si>
  <si>
    <t>Lorena Platero</t>
  </si>
  <si>
    <t>Cristian Gómez</t>
  </si>
  <si>
    <t>Secretaria de Extensión</t>
  </si>
  <si>
    <t>200.000 Esalud; 200.000 FFHA</t>
  </si>
  <si>
    <t>DIPLOMATURA DE EXTENSIÓN EN PRÁCTICAS SOCIOEDUCATIVAS</t>
  </si>
  <si>
    <t>Recursos Financieros aportados por la Organización/Empresa</t>
  </si>
  <si>
    <t>Recursos Financieros aportados por la FCEFN</t>
  </si>
  <si>
    <t>200.000 FCEFN</t>
  </si>
  <si>
    <t>R49/22</t>
  </si>
  <si>
    <t xml:space="preserve">Acta Inter Facultades a suscribirse entre la Facultad de Filosofía. Humanidades y Artes de la UNSJ. y la Facultad de Ciencias Exactas. Físicas y Naturales de la UNSJ </t>
  </si>
  <si>
    <t>Miriam Gimenez</t>
  </si>
  <si>
    <t>Graciela Gómez</t>
  </si>
  <si>
    <t>R96/21</t>
  </si>
  <si>
    <t>Acta Complementaria entre la Secretaría de Estado de Ambiente y Desarrollo Sustentable del Gobierno de San Juan y la Universidad Nacional de San Juan, a través del Departamento de Geología</t>
  </si>
  <si>
    <t>Edicion Libro Requerimientos Hídricos para especies arbóreas del Arbolado Público en los Valles de Tulúm y Ullúm-Zonda de la Provincia de San Juan</t>
  </si>
  <si>
    <t xml:space="preserve">FCEFN realiza acciones conjuntas tendientes a promover la capacitación del personal del servicio de seguridad de la provincia. </t>
  </si>
  <si>
    <t>50% al iniciar y 50% al finaliza curso</t>
  </si>
  <si>
    <t>R86/21</t>
  </si>
  <si>
    <t>Aprueba el Acta Complementaria entre el Ministerio de Turismo y Cultura del Gobierno de la Provincia de San Juan y la Universidad Nacional de San Juan a través de la FCEFN. (Museo Provincial de Paleontología).</t>
  </si>
  <si>
    <t>R26/20</t>
  </si>
  <si>
    <t>Ministerio de Cultura de la Provincia de San Juan</t>
  </si>
  <si>
    <t>Instituto y Museo de Ciencias Naturales</t>
  </si>
  <si>
    <t>R29/20</t>
  </si>
  <si>
    <t>implementar Programas de Prácticas Profesionales Asistidas (PPA), con la  finalidad de contribuir en la formación académica y capacitación de alumnos de grado, otorgándoles
la posibilidad de obtener conocimientos, prácticas y herramientas propias del ejercicio de la función como profesional geólogo</t>
  </si>
  <si>
    <t>Empresa Aurora Mining SRL</t>
  </si>
  <si>
    <t>R03/22</t>
  </si>
  <si>
    <t>R01/22</t>
  </si>
  <si>
    <t>LA UNSJ se compromete, a través del Instituto y Museo de Ciencias Naturales (IMCN), dependiente de la FCEFN, a realizar las gestiones necesarias para remitir las muestras al/los laboratorio/s que se estime más conveniente, según criterio científicamente fundado, en el/los que se realicen Dataciones Absolutas mediante análisis radimétricos de
Uranio/Plomo de rocas volcánicas y/o circón detrítico, método de datación aceptado para publicaciones científicas</t>
  </si>
  <si>
    <t>Iniciar formalmente el proyecto EU61-UNSJ15733 Competencias digitales Rawson</t>
  </si>
  <si>
    <t>R02/22</t>
  </si>
  <si>
    <t>Aporte SPU</t>
  </si>
  <si>
    <t>María Peluffo</t>
  </si>
  <si>
    <t>Iniciar formalmente el proyecto EU61-UNSJ15733 Competencias digitales Pocito</t>
  </si>
  <si>
    <t>Lucia Altamirano</t>
  </si>
  <si>
    <t>R04/22</t>
  </si>
  <si>
    <t>Iniciar formalmente el proyecto EU61-UNSJ15733 Competencias digitales Chimbas</t>
  </si>
  <si>
    <t>Carolina Fernandez</t>
  </si>
  <si>
    <t>Acta Complementaria a suscribirse entre la Universidad Nacional de San Luis, a través de la Facultad de Ciencias Físico-Matemáticas y Naturales (FCFMyN), y la Universidad Nacional de San Juan, a través de la Facultad de Ciencias Exactas, Físicas y Naturales (FCEFN)</t>
  </si>
  <si>
    <t>R15/22</t>
  </si>
  <si>
    <t>UN de San Luis. Facultad de Ciencias Fisico Matematicas</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</si>
</sst>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quot;$&quot;\ #,##0;[Red]\-&quot;$&quot;\ #,##0"/>
    <numFmt numFmtId="165" formatCode="&quot;$&quot;\ #,##0.00;[Red]\-&quot;$&quot;\ #,##0.00"/>
    <numFmt numFmtId="166" formatCode="dd/mm/yyyy"/>
    <numFmt numFmtId="167" formatCode="m/d/yyyy"/>
  </numFmts>
  <fonts count="11" x14ac:knownFonts="1">
    <font>
      <sz val="11"/>
      <color rgb="FF000000"/>
      <name val="Calibri"/>
      <family val="2"/>
      <charset val="1"/>
    </font>
    <font>
      <sz val="10"/>
      <color rgb="FF000000"/>
      <name val="Arial"/>
      <family val="2"/>
      <charset val="1"/>
    </font>
    <font>
      <b/>
      <sz val="11"/>
      <color rgb="FF000000"/>
      <name val="Calibri"/>
      <family val="2"/>
      <charset val="1"/>
    </font>
    <font>
      <sz val="11"/>
      <name val="Calibri"/>
      <family val="2"/>
      <charset val="1"/>
    </font>
    <font>
      <u/>
      <sz val="11"/>
      <color rgb="FF0000FF"/>
      <name val="Calibri"/>
      <family val="2"/>
      <charset val="1"/>
    </font>
    <font>
      <sz val="14"/>
      <color rgb="FF000000"/>
      <name val="Arial"/>
      <family val="2"/>
    </font>
    <font>
      <sz val="11"/>
      <color rgb="FF000000"/>
      <name val="Arial"/>
      <family val="2"/>
    </font>
    <font>
      <sz val="15"/>
      <color rgb="FF000000"/>
      <name val="Times New Roman"/>
      <family val="1"/>
    </font>
    <font>
      <sz val="22"/>
      <color rgb="FF000000"/>
      <name val="Calibri"/>
      <family val="2"/>
      <charset val="1"/>
    </font>
    <font>
      <sz val="16"/>
      <color rgb="FF000000"/>
      <name val="Calibri"/>
      <family val="2"/>
      <charset val="1"/>
    </font>
    <font>
      <sz val="14"/>
      <color rgb="FF000000"/>
      <name val="Calibri"/>
      <family val="2"/>
      <charset val="1"/>
    </font>
  </fonts>
  <fills count="15">
    <fill>
      <patternFill patternType="none"/>
    </fill>
    <fill>
      <patternFill patternType="gray125"/>
    </fill>
    <fill>
      <patternFill patternType="solid">
        <fgColor rgb="FFFFC000"/>
        <bgColor rgb="FFFF9900"/>
      </patternFill>
    </fill>
    <fill>
      <patternFill patternType="solid">
        <fgColor rgb="FFFABF8F"/>
        <bgColor rgb="FFFAC090"/>
      </patternFill>
    </fill>
    <fill>
      <patternFill patternType="solid">
        <fgColor rgb="FFFFFFFF"/>
        <bgColor rgb="FFFFF5CE"/>
      </patternFill>
    </fill>
    <fill>
      <patternFill patternType="solid">
        <fgColor theme="5" tint="0.79998168889431442"/>
        <bgColor rgb="FFFDEADA"/>
      </patternFill>
    </fill>
    <fill>
      <patternFill patternType="solid">
        <fgColor theme="5" tint="0.79998168889431442"/>
        <bgColor rgb="FFFFF5CE"/>
      </patternFill>
    </fill>
    <fill>
      <patternFill patternType="solid">
        <fgColor theme="5" tint="0.79998168889431442"/>
        <bgColor indexed="64"/>
      </patternFill>
    </fill>
    <fill>
      <patternFill patternType="solid">
        <fgColor theme="5" tint="0.79998168889431442"/>
        <bgColor rgb="FFFAC090"/>
      </patternFill>
    </fill>
    <fill>
      <patternFill patternType="solid">
        <fgColor theme="5" tint="0.79998168889431442"/>
        <bgColor rgb="FFFABF8F"/>
      </patternFill>
    </fill>
    <fill>
      <patternFill patternType="solid">
        <fgColor theme="7" tint="0.59999389629810485"/>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FF00"/>
        <bgColor indexed="64"/>
      </patternFill>
    </fill>
    <fill>
      <patternFill patternType="solid">
        <fgColor theme="5" tint="0.39997558519241921"/>
        <bgColor indexed="64"/>
      </patternFill>
    </fill>
  </fills>
  <borders count="7">
    <border>
      <left/>
      <right/>
      <top/>
      <bottom/>
      <diagonal/>
    </border>
    <border>
      <left style="thin">
        <color auto="1"/>
      </left>
      <right style="thin">
        <color auto="1"/>
      </right>
      <top style="thin">
        <color auto="1"/>
      </top>
      <bottom style="thin">
        <color auto="1"/>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s>
  <cellStyleXfs count="3">
    <xf numFmtId="0" fontId="0" fillId="0" borderId="0"/>
    <xf numFmtId="0" fontId="4" fillId="0" borderId="0" applyBorder="0" applyProtection="0"/>
    <xf numFmtId="0" fontId="1" fillId="0" borderId="0"/>
  </cellStyleXfs>
  <cellXfs count="131">
    <xf numFmtId="0" fontId="0" fillId="0" borderId="0" xfId="0"/>
    <xf numFmtId="0" fontId="0" fillId="2" borderId="1" xfId="0" applyFont="1" applyFill="1" applyBorder="1"/>
    <xf numFmtId="0" fontId="0" fillId="3" borderId="1" xfId="0" applyFont="1" applyFill="1" applyBorder="1" applyAlignment="1">
      <alignment horizontal="left"/>
    </xf>
    <xf numFmtId="0" fontId="0" fillId="0" borderId="1" xfId="0" applyBorder="1"/>
    <xf numFmtId="0" fontId="0" fillId="6" borderId="1" xfId="0" applyFill="1" applyBorder="1"/>
    <xf numFmtId="0" fontId="0" fillId="6" borderId="1" xfId="0" applyFont="1" applyFill="1" applyBorder="1" applyAlignment="1">
      <alignment vertical="top" wrapText="1"/>
    </xf>
    <xf numFmtId="166" fontId="0" fillId="6" borderId="1" xfId="0" applyNumberFormat="1" applyFill="1" applyBorder="1" applyAlignment="1">
      <alignment horizontal="left" vertical="top" wrapText="1"/>
    </xf>
    <xf numFmtId="0" fontId="0" fillId="6" borderId="1" xfId="0" applyFont="1" applyFill="1" applyBorder="1" applyAlignment="1">
      <alignment horizontal="left" vertical="top" wrapText="1"/>
    </xf>
    <xf numFmtId="167" fontId="0" fillId="6" borderId="1" xfId="0" applyNumberFormat="1" applyFont="1" applyFill="1" applyBorder="1" applyAlignment="1">
      <alignment horizontal="left" vertical="top" wrapText="1"/>
    </xf>
    <xf numFmtId="166" fontId="0" fillId="6" borderId="1" xfId="0" applyNumberFormat="1" applyFont="1" applyFill="1" applyBorder="1" applyAlignment="1">
      <alignment horizontal="left" vertical="top" wrapText="1"/>
    </xf>
    <xf numFmtId="0" fontId="0" fillId="6" borderId="1" xfId="0" applyFill="1" applyBorder="1" applyAlignment="1">
      <alignment horizontal="left" vertical="top" wrapText="1"/>
    </xf>
    <xf numFmtId="0" fontId="0" fillId="6" borderId="1" xfId="0" applyFill="1" applyBorder="1" applyAlignment="1">
      <alignment horizontal="left"/>
    </xf>
    <xf numFmtId="166" fontId="0" fillId="6" borderId="1" xfId="0" applyNumberFormat="1" applyFill="1" applyBorder="1" applyAlignment="1">
      <alignment horizontal="left"/>
    </xf>
    <xf numFmtId="167" fontId="0" fillId="6" borderId="1" xfId="0" applyNumberFormat="1" applyFill="1" applyBorder="1" applyAlignment="1">
      <alignment horizontal="left"/>
    </xf>
    <xf numFmtId="0" fontId="0" fillId="6" borderId="1" xfId="0" applyFont="1" applyFill="1" applyBorder="1" applyAlignment="1">
      <alignment horizontal="left" vertical="top"/>
    </xf>
    <xf numFmtId="166" fontId="0" fillId="7" borderId="1" xfId="0" applyNumberFormat="1" applyFill="1" applyBorder="1" applyAlignment="1">
      <alignment horizontal="left" vertical="top"/>
    </xf>
    <xf numFmtId="0" fontId="0" fillId="7" borderId="1" xfId="0" applyFill="1" applyBorder="1" applyAlignment="1">
      <alignment horizontal="left" vertical="top" wrapText="1"/>
    </xf>
    <xf numFmtId="0" fontId="0" fillId="7" borderId="1" xfId="0" applyFill="1" applyBorder="1" applyAlignment="1">
      <alignment horizontal="left" vertical="top"/>
    </xf>
    <xf numFmtId="0" fontId="0" fillId="7" borderId="1" xfId="0" applyFill="1" applyBorder="1" applyAlignment="1">
      <alignment horizontal="left"/>
    </xf>
    <xf numFmtId="166" fontId="0" fillId="7" borderId="1" xfId="0" applyNumberFormat="1" applyFill="1" applyBorder="1" applyAlignment="1">
      <alignment horizontal="left"/>
    </xf>
    <xf numFmtId="0" fontId="0" fillId="7" borderId="1" xfId="0" applyFill="1" applyBorder="1" applyAlignment="1">
      <alignment vertical="top" wrapText="1"/>
    </xf>
    <xf numFmtId="0" fontId="0" fillId="7" borderId="1" xfId="0" applyFill="1" applyBorder="1" applyAlignment="1">
      <alignment vertical="top"/>
    </xf>
    <xf numFmtId="0" fontId="0" fillId="7" borderId="1" xfId="0" applyFill="1" applyBorder="1"/>
    <xf numFmtId="0" fontId="4" fillId="7" borderId="1" xfId="1" applyFill="1" applyBorder="1"/>
    <xf numFmtId="0" fontId="0" fillId="6" borderId="1" xfId="0" applyFont="1" applyFill="1" applyBorder="1" applyAlignment="1">
      <alignment vertical="top"/>
    </xf>
    <xf numFmtId="0" fontId="2" fillId="2" borderId="1" xfId="0" applyFont="1" applyFill="1" applyBorder="1" applyAlignment="1">
      <alignment horizontal="left"/>
    </xf>
    <xf numFmtId="0" fontId="2" fillId="2" borderId="1" xfId="0" applyFont="1" applyFill="1" applyBorder="1"/>
    <xf numFmtId="166" fontId="2" fillId="2" borderId="1" xfId="0" applyNumberFormat="1" applyFont="1" applyFill="1" applyBorder="1" applyAlignment="1">
      <alignment horizontal="left"/>
    </xf>
    <xf numFmtId="0" fontId="0" fillId="2" borderId="1" xfId="0" applyFill="1" applyBorder="1"/>
    <xf numFmtId="0" fontId="0" fillId="5" borderId="1" xfId="0" applyFont="1" applyFill="1" applyBorder="1" applyAlignment="1">
      <alignment horizontal="left"/>
    </xf>
    <xf numFmtId="0" fontId="0" fillId="5" borderId="1" xfId="0" applyFont="1" applyFill="1" applyBorder="1" applyAlignment="1">
      <alignment horizontal="left" vertical="top"/>
    </xf>
    <xf numFmtId="166" fontId="0" fillId="5" borderId="1" xfId="0" applyNumberFormat="1" applyFill="1" applyBorder="1" applyAlignment="1">
      <alignment horizontal="left"/>
    </xf>
    <xf numFmtId="167" fontId="0" fillId="5" borderId="1" xfId="0" applyNumberFormat="1" applyFont="1" applyFill="1" applyBorder="1" applyAlignment="1">
      <alignment horizontal="left"/>
    </xf>
    <xf numFmtId="0" fontId="0" fillId="5" borderId="1" xfId="0" applyFont="1" applyFill="1" applyBorder="1"/>
    <xf numFmtId="0" fontId="0" fillId="8" borderId="1" xfId="0" applyFont="1" applyFill="1" applyBorder="1" applyAlignment="1">
      <alignment horizontal="left" vertical="top"/>
    </xf>
    <xf numFmtId="0" fontId="0" fillId="8" borderId="1" xfId="0" applyFont="1" applyFill="1" applyBorder="1" applyAlignment="1">
      <alignment vertical="top" wrapText="1"/>
    </xf>
    <xf numFmtId="0" fontId="4" fillId="7" borderId="1" xfId="1" applyFill="1" applyBorder="1" applyAlignment="1">
      <alignment vertical="top"/>
    </xf>
    <xf numFmtId="166" fontId="0" fillId="5" borderId="1" xfId="0" applyNumberFormat="1" applyFill="1" applyBorder="1" applyAlignment="1">
      <alignment horizontal="left" vertical="top"/>
    </xf>
    <xf numFmtId="167" fontId="0" fillId="5" borderId="1" xfId="0" applyNumberFormat="1" applyFont="1" applyFill="1" applyBorder="1" applyAlignment="1">
      <alignment horizontal="left" vertical="top"/>
    </xf>
    <xf numFmtId="0" fontId="4" fillId="6" borderId="1" xfId="1" applyFont="1" applyFill="1" applyBorder="1" applyAlignment="1" applyProtection="1">
      <alignment vertical="top"/>
    </xf>
    <xf numFmtId="0" fontId="4" fillId="6" borderId="1" xfId="1" applyFill="1" applyBorder="1" applyAlignment="1" applyProtection="1">
      <alignment vertical="top"/>
    </xf>
    <xf numFmtId="0" fontId="0" fillId="0" borderId="1" xfId="0" applyBorder="1" applyAlignment="1">
      <alignment horizontal="left"/>
    </xf>
    <xf numFmtId="166" fontId="0" fillId="0" borderId="1" xfId="0" applyNumberFormat="1" applyBorder="1" applyAlignment="1">
      <alignment horizontal="left"/>
    </xf>
    <xf numFmtId="0" fontId="4" fillId="0" borderId="1" xfId="1" applyBorder="1"/>
    <xf numFmtId="166" fontId="3" fillId="9" borderId="1" xfId="0" applyNumberFormat="1" applyFont="1" applyFill="1" applyBorder="1" applyAlignment="1">
      <alignment horizontal="left"/>
    </xf>
    <xf numFmtId="0" fontId="3" fillId="9" borderId="1" xfId="0" applyFont="1" applyFill="1" applyBorder="1" applyAlignment="1">
      <alignment horizontal="left"/>
    </xf>
    <xf numFmtId="167" fontId="3" fillId="9" borderId="1" xfId="0" applyNumberFormat="1" applyFont="1" applyFill="1" applyBorder="1" applyAlignment="1">
      <alignment horizontal="left"/>
    </xf>
    <xf numFmtId="166" fontId="0" fillId="7" borderId="1" xfId="0" applyNumberFormat="1" applyFill="1" applyBorder="1" applyAlignment="1">
      <alignment horizontal="left" vertical="top" wrapText="1"/>
    </xf>
    <xf numFmtId="0" fontId="0" fillId="7" borderId="1" xfId="0" applyFill="1" applyBorder="1" applyAlignment="1">
      <alignment horizontal="left" wrapText="1"/>
    </xf>
    <xf numFmtId="0" fontId="0" fillId="8" borderId="1" xfId="0" applyFont="1" applyFill="1" applyBorder="1" applyAlignment="1">
      <alignment horizontal="left"/>
    </xf>
    <xf numFmtId="0" fontId="0" fillId="5" borderId="1" xfId="0" applyFont="1" applyFill="1" applyBorder="1" applyAlignment="1">
      <alignment horizontal="left" vertical="top" wrapText="1"/>
    </xf>
    <xf numFmtId="166" fontId="0" fillId="8" borderId="1" xfId="0" applyNumberFormat="1" applyFill="1" applyBorder="1" applyAlignment="1">
      <alignment horizontal="left"/>
    </xf>
    <xf numFmtId="0" fontId="0" fillId="8" borderId="1" xfId="0" applyFont="1" applyFill="1" applyBorder="1" applyAlignment="1">
      <alignment wrapText="1"/>
    </xf>
    <xf numFmtId="0" fontId="0" fillId="8" borderId="1" xfId="0" applyFont="1" applyFill="1" applyBorder="1"/>
    <xf numFmtId="0" fontId="0" fillId="4" borderId="1" xfId="0" applyFill="1" applyBorder="1"/>
    <xf numFmtId="166" fontId="0" fillId="3" borderId="1" xfId="0" applyNumberFormat="1" applyFill="1" applyBorder="1" applyAlignment="1">
      <alignment horizontal="left"/>
    </xf>
    <xf numFmtId="167" fontId="0" fillId="3" borderId="1" xfId="0" applyNumberFormat="1" applyFont="1" applyFill="1" applyBorder="1" applyAlignment="1">
      <alignment horizontal="left"/>
    </xf>
    <xf numFmtId="0" fontId="0" fillId="3" borderId="1" xfId="0" applyFont="1" applyFill="1" applyBorder="1"/>
    <xf numFmtId="165" fontId="0" fillId="3" borderId="1" xfId="0" applyNumberFormat="1" applyFont="1" applyFill="1" applyBorder="1"/>
    <xf numFmtId="0" fontId="4" fillId="3" borderId="1" xfId="1" applyFont="1" applyFill="1" applyBorder="1" applyAlignment="1" applyProtection="1"/>
    <xf numFmtId="0" fontId="0" fillId="3" borderId="1" xfId="0" applyFont="1" applyFill="1" applyBorder="1" applyAlignment="1">
      <alignment wrapText="1"/>
    </xf>
    <xf numFmtId="164" fontId="0" fillId="5" borderId="1" xfId="0" applyNumberFormat="1" applyFont="1" applyFill="1" applyBorder="1"/>
    <xf numFmtId="0" fontId="0" fillId="8" borderId="1" xfId="0" applyFont="1" applyFill="1" applyBorder="1" applyAlignment="1">
      <alignment horizontal="left" vertical="top" wrapText="1"/>
    </xf>
    <xf numFmtId="0" fontId="0" fillId="8" borderId="1" xfId="0" applyFont="1" applyFill="1" applyBorder="1" applyAlignment="1">
      <alignment horizontal="left" wrapText="1"/>
    </xf>
    <xf numFmtId="164" fontId="0" fillId="8" borderId="1" xfId="0" applyNumberFormat="1" applyFont="1" applyFill="1" applyBorder="1"/>
    <xf numFmtId="0" fontId="0" fillId="5" borderId="1" xfId="0" applyFill="1" applyBorder="1"/>
    <xf numFmtId="166" fontId="0" fillId="5" borderId="1" xfId="0" applyNumberFormat="1" applyFont="1" applyFill="1" applyBorder="1" applyAlignment="1">
      <alignment horizontal="left" vertical="top" wrapText="1"/>
    </xf>
    <xf numFmtId="0" fontId="0" fillId="5" borderId="1" xfId="0" applyFill="1" applyBorder="1" applyAlignment="1">
      <alignment horizontal="left"/>
    </xf>
    <xf numFmtId="0" fontId="4" fillId="5" borderId="1" xfId="1" applyFont="1" applyFill="1" applyBorder="1" applyAlignment="1" applyProtection="1">
      <alignment horizontal="left" vertical="top" wrapText="1"/>
    </xf>
    <xf numFmtId="0" fontId="4" fillId="6" borderId="1" xfId="1" applyFont="1" applyFill="1" applyBorder="1" applyAlignment="1" applyProtection="1">
      <alignment horizontal="left" vertical="top" wrapText="1"/>
    </xf>
    <xf numFmtId="0" fontId="4" fillId="7" borderId="1" xfId="1" applyFill="1" applyBorder="1" applyProtection="1"/>
    <xf numFmtId="0" fontId="0" fillId="6" borderId="1" xfId="0" applyFill="1" applyBorder="1" applyAlignment="1">
      <alignment wrapText="1"/>
    </xf>
    <xf numFmtId="165" fontId="0" fillId="6" borderId="1" xfId="0" applyNumberFormat="1" applyFont="1" applyFill="1" applyBorder="1" applyAlignment="1">
      <alignment horizontal="left" vertical="top" wrapText="1"/>
    </xf>
    <xf numFmtId="165" fontId="0" fillId="6" borderId="1" xfId="0" applyNumberFormat="1" applyFont="1" applyFill="1" applyBorder="1" applyAlignment="1">
      <alignment horizontal="left" wrapText="1"/>
    </xf>
    <xf numFmtId="0" fontId="0" fillId="0" borderId="1" xfId="0" applyBorder="1" applyAlignment="1">
      <alignment wrapText="1"/>
    </xf>
    <xf numFmtId="0" fontId="0" fillId="7" borderId="1" xfId="0" applyFill="1" applyBorder="1" applyAlignment="1">
      <alignment wrapText="1"/>
    </xf>
    <xf numFmtId="0" fontId="4" fillId="0" borderId="1" xfId="1" applyBorder="1" applyAlignment="1">
      <alignment wrapText="1"/>
    </xf>
    <xf numFmtId="0" fontId="0" fillId="0" borderId="1" xfId="0" applyFill="1" applyBorder="1"/>
    <xf numFmtId="166" fontId="0" fillId="7" borderId="1" xfId="0" applyNumberFormat="1" applyFill="1" applyBorder="1" applyAlignment="1">
      <alignment horizontal="left" wrapText="1"/>
    </xf>
    <xf numFmtId="0" fontId="4" fillId="7" borderId="1" xfId="1" applyFill="1" applyBorder="1" applyAlignment="1">
      <alignment wrapText="1"/>
    </xf>
    <xf numFmtId="0" fontId="0" fillId="0" borderId="1" xfId="0" applyFill="1" applyBorder="1" applyAlignment="1">
      <alignment wrapText="1"/>
    </xf>
    <xf numFmtId="167" fontId="0" fillId="7" borderId="1" xfId="0" applyNumberFormat="1" applyFill="1" applyBorder="1" applyAlignment="1">
      <alignment horizontal="left" vertical="top" wrapText="1"/>
    </xf>
    <xf numFmtId="0" fontId="4" fillId="7" borderId="1" xfId="1" applyFill="1" applyBorder="1" applyAlignment="1">
      <alignment vertical="top" wrapText="1"/>
    </xf>
    <xf numFmtId="0" fontId="0" fillId="0" borderId="1" xfId="0" applyBorder="1" applyAlignment="1">
      <alignment vertical="top" wrapText="1"/>
    </xf>
    <xf numFmtId="0" fontId="3" fillId="9" borderId="1" xfId="0" applyFont="1" applyFill="1" applyBorder="1" applyAlignment="1">
      <alignment horizontal="left" vertical="top" wrapText="1"/>
    </xf>
    <xf numFmtId="0" fontId="3" fillId="9" borderId="1" xfId="0" applyFont="1" applyFill="1" applyBorder="1"/>
    <xf numFmtId="164" fontId="3" fillId="9" borderId="1" xfId="0" applyNumberFormat="1" applyFont="1" applyFill="1" applyBorder="1"/>
    <xf numFmtId="0" fontId="0" fillId="0" borderId="0" xfId="0" applyAlignment="1">
      <alignment wrapText="1"/>
    </xf>
    <xf numFmtId="0" fontId="0" fillId="3" borderId="1" xfId="0" applyFont="1" applyFill="1" applyBorder="1" applyAlignment="1">
      <alignment horizontal="left" wrapText="1"/>
    </xf>
    <xf numFmtId="0" fontId="0" fillId="5" borderId="1" xfId="0" applyFont="1" applyFill="1" applyBorder="1" applyAlignment="1">
      <alignment horizontal="left" wrapText="1"/>
    </xf>
    <xf numFmtId="0" fontId="3" fillId="9" borderId="1" xfId="0" applyFont="1" applyFill="1" applyBorder="1" applyAlignment="1">
      <alignment horizontal="left" wrapText="1"/>
    </xf>
    <xf numFmtId="0" fontId="0" fillId="0" borderId="1" xfId="0" applyBorder="1" applyAlignment="1">
      <alignment horizontal="left" wrapText="1"/>
    </xf>
    <xf numFmtId="0" fontId="0" fillId="6" borderId="1" xfId="0" applyFill="1" applyBorder="1" applyAlignment="1">
      <alignment horizontal="left" wrapText="1"/>
    </xf>
    <xf numFmtId="0" fontId="0" fillId="10" borderId="0" xfId="0" applyFill="1"/>
    <xf numFmtId="14" fontId="0" fillId="0" borderId="0" xfId="0" applyNumberFormat="1"/>
    <xf numFmtId="0" fontId="0" fillId="10" borderId="0" xfId="0" applyFill="1" applyAlignment="1">
      <alignment wrapText="1"/>
    </xf>
    <xf numFmtId="0" fontId="0" fillId="11" borderId="0" xfId="0" applyFill="1" applyAlignment="1">
      <alignment wrapText="1"/>
    </xf>
    <xf numFmtId="0" fontId="0" fillId="11" borderId="1" xfId="0" applyFill="1" applyBorder="1" applyAlignment="1">
      <alignment wrapText="1"/>
    </xf>
    <xf numFmtId="0" fontId="0" fillId="10" borderId="1" xfId="0" applyFill="1" applyBorder="1" applyAlignment="1">
      <alignment wrapText="1"/>
    </xf>
    <xf numFmtId="0" fontId="0" fillId="12" borderId="0" xfId="0" applyFill="1" applyAlignment="1">
      <alignment wrapText="1"/>
    </xf>
    <xf numFmtId="0" fontId="5" fillId="0" borderId="0" xfId="0" applyFont="1"/>
    <xf numFmtId="0" fontId="7" fillId="0" borderId="0" xfId="0" applyFont="1"/>
    <xf numFmtId="0" fontId="0" fillId="7" borderId="1" xfId="0" applyFont="1" applyFill="1" applyBorder="1" applyAlignment="1">
      <alignment horizontal="left" vertical="top" wrapText="1"/>
    </xf>
    <xf numFmtId="0" fontId="6" fillId="0" borderId="0" xfId="0" applyFont="1"/>
    <xf numFmtId="0" fontId="0" fillId="0" borderId="0" xfId="0" applyFont="1"/>
    <xf numFmtId="0" fontId="0" fillId="0" borderId="1" xfId="0" applyFont="1" applyBorder="1"/>
    <xf numFmtId="0" fontId="0" fillId="7" borderId="0" xfId="0" applyFont="1" applyFill="1" applyBorder="1" applyAlignment="1">
      <alignment horizontal="left" vertical="top" wrapText="1"/>
    </xf>
    <xf numFmtId="0" fontId="0" fillId="5" borderId="0" xfId="0" applyFont="1" applyFill="1" applyBorder="1" applyAlignment="1">
      <alignment horizontal="left" vertical="top" wrapText="1"/>
    </xf>
    <xf numFmtId="0" fontId="7" fillId="0" borderId="1" xfId="0" applyFont="1" applyBorder="1"/>
    <xf numFmtId="0" fontId="0" fillId="7" borderId="0" xfId="0" applyFill="1" applyBorder="1" applyAlignment="1">
      <alignment horizontal="left" vertical="top" wrapText="1"/>
    </xf>
    <xf numFmtId="0" fontId="0" fillId="10" borderId="3" xfId="0" applyFill="1" applyBorder="1"/>
    <xf numFmtId="0" fontId="0" fillId="10" borderId="3" xfId="0" applyFill="1" applyBorder="1" applyAlignment="1">
      <alignment wrapText="1"/>
    </xf>
    <xf numFmtId="0" fontId="0" fillId="13" borderId="0" xfId="0" applyFill="1"/>
    <xf numFmtId="0" fontId="0" fillId="13" borderId="0" xfId="0" applyFill="1" applyAlignment="1">
      <alignment wrapText="1"/>
    </xf>
    <xf numFmtId="0" fontId="0" fillId="0" borderId="0" xfId="0" applyBorder="1" applyAlignment="1">
      <alignment wrapText="1"/>
    </xf>
    <xf numFmtId="0" fontId="0" fillId="12" borderId="0" xfId="0" applyFill="1" applyAlignment="1"/>
    <xf numFmtId="0" fontId="0" fillId="12" borderId="3" xfId="0" applyFill="1" applyBorder="1" applyAlignment="1"/>
    <xf numFmtId="0" fontId="0" fillId="11" borderId="1" xfId="0" applyFill="1" applyBorder="1" applyAlignment="1"/>
    <xf numFmtId="0" fontId="0" fillId="10" borderId="5" xfId="0" applyFill="1" applyBorder="1" applyAlignment="1"/>
    <xf numFmtId="0" fontId="0" fillId="10" borderId="6" xfId="0" applyFill="1" applyBorder="1" applyAlignment="1"/>
    <xf numFmtId="0" fontId="0" fillId="11" borderId="0" xfId="0" applyFill="1" applyAlignment="1"/>
    <xf numFmtId="0" fontId="8" fillId="12" borderId="0" xfId="0" applyFont="1" applyFill="1" applyAlignment="1"/>
    <xf numFmtId="0" fontId="9" fillId="11" borderId="1" xfId="0" applyFont="1" applyFill="1" applyBorder="1" applyAlignment="1"/>
    <xf numFmtId="0" fontId="9" fillId="10" borderId="4" xfId="0" applyFont="1" applyFill="1" applyBorder="1" applyAlignment="1"/>
    <xf numFmtId="0" fontId="10" fillId="11" borderId="0" xfId="0" applyFont="1" applyFill="1" applyAlignment="1"/>
    <xf numFmtId="0" fontId="9" fillId="11" borderId="0" xfId="0" applyFont="1" applyFill="1" applyAlignment="1"/>
    <xf numFmtId="0" fontId="9" fillId="14" borderId="2" xfId="0" applyFont="1" applyFill="1" applyBorder="1" applyAlignment="1"/>
    <xf numFmtId="0" fontId="0" fillId="14" borderId="0" xfId="0" applyFill="1" applyAlignment="1"/>
    <xf numFmtId="0" fontId="9" fillId="14" borderId="0" xfId="0" applyFont="1" applyFill="1" applyAlignment="1"/>
    <xf numFmtId="0" fontId="0" fillId="14" borderId="0" xfId="0" applyFill="1" applyAlignment="1">
      <alignment horizontal="center"/>
    </xf>
    <xf numFmtId="0" fontId="0" fillId="14" borderId="0" xfId="0" applyFill="1" applyAlignment="1">
      <alignment wrapText="1"/>
    </xf>
  </cellXfs>
  <cellStyles count="3">
    <cellStyle name="Hipervínculo" xfId="1" builtinId="8"/>
    <cellStyle name="Normal" xfId="0" builtinId="0"/>
    <cellStyle name="Normal 2" xfId="2"/>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4BD97"/>
      <rgbColor rgb="FF7F7F7F"/>
      <rgbColor rgb="FF9999FF"/>
      <rgbColor rgb="FF963634"/>
      <rgbColor rgb="FFFFF5CE"/>
      <rgbColor rgb="FFC2D69A"/>
      <rgbColor rgb="FF660066"/>
      <rgbColor rgb="FFFABF8F"/>
      <rgbColor rgb="FF0066CC"/>
      <rgbColor rgb="FFB8CCE4"/>
      <rgbColor rgb="FF000080"/>
      <rgbColor rgb="FFFF00FF"/>
      <rgbColor rgb="FFFFFF00"/>
      <rgbColor rgb="FF00FFFF"/>
      <rgbColor rgb="FF800080"/>
      <rgbColor rgb="FF800000"/>
      <rgbColor rgb="FF008080"/>
      <rgbColor rgb="FF0000FF"/>
      <rgbColor rgb="FF00CCFF"/>
      <rgbColor rgb="FFCCFFFF"/>
      <rgbColor rgb="FFD7E3BB"/>
      <rgbColor rgb="FFFDEADA"/>
      <rgbColor rgb="FF92CDDC"/>
      <rgbColor rgb="FFE6B8B7"/>
      <rgbColor rgb="FFCC99FF"/>
      <rgbColor rgb="FFFAC090"/>
      <rgbColor rgb="FF3366FF"/>
      <rgbColor rgb="FF33CCCC"/>
      <rgbColor rgb="FF99CC00"/>
      <rgbColor rgb="FFFFC0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8" Type="http://schemas.openxmlformats.org/officeDocument/2006/relationships/hyperlink" Target="file:///C:\Users\Agostina\AppData\Roaming\Microsoft\Documentos\Documentos\Extensi&#243;n\Convenios%20y%20Actas%20Complementarias%20(Escaneos)\2021\Convenio%20Fundaci&#243;n%20Sadosky%20(Linea%20B%20-%20M.%20Ortega).pdf" TargetMode="External"/><Relationship Id="rId13" Type="http://schemas.openxmlformats.org/officeDocument/2006/relationships/hyperlink" Target="file:///C:\Users\Agostina\AppData\Roaming\Microsoft\Documentos\Documentos\Extensi&#243;n\Resoluciones\69-2019-CD-FCEFN.pdf" TargetMode="External"/><Relationship Id="rId18" Type="http://schemas.openxmlformats.org/officeDocument/2006/relationships/hyperlink" Target="file:///C:\Users\Luis%20Olguin\AppData\Roaming\Microsoft\Excel\Documentos\Documentos\Extensi&#243;n\Convenios%20y%20Actas%20Complementarias%20(Escaneos)\2022\23-05_Acta_Complementaria_-_Municipalidad_de_Rawson_y_FCEFyN_1879_025.pdf" TargetMode="External"/><Relationship Id="rId3" Type="http://schemas.openxmlformats.org/officeDocument/2006/relationships/hyperlink" Target="file:///C:\Users\Agostina\AppData\Roaming\Microsoft\Documentos\Documentos\Extensi&#243;n\Convenios%20y%20Actas%20Complementarias%20(Escaneos)\2021\Vector%20Ausenco\2000-FM-QA-ES-0006%20R1_Encuesta_de_satisfaccion_de_clientes_Glencore%20Pach&#243;n%20Amenaza%20S&#237;smica%20(completada).pdf" TargetMode="External"/><Relationship Id="rId21" Type="http://schemas.openxmlformats.org/officeDocument/2006/relationships/hyperlink" Target="file:///C:\Users\Luis%20Olguin\AppData\Roaming\Microsoft\Excel\Documentos\Documentos\Extensi&#243;n\Convenios%20y%20Actas%20Complementarias%20(Escaneos)\2016\AdendaAC-Glaciares(30-12-2016).pdf" TargetMode="External"/><Relationship Id="rId7" Type="http://schemas.openxmlformats.org/officeDocument/2006/relationships/hyperlink" Target="file:///C:\Users\Agostina\AppData\Roaming\Microsoft\Documentos\Documentos\Extensi&#243;n\Convenios%20y%20Actas%20Complementarias%20(Escaneos)\2021\Convenio%20Fundaci&#243;n%20Sadosky%20(L&#237;nea%20A%20-%20F.%20Mill&#225;n).pdf" TargetMode="External"/><Relationship Id="rId12" Type="http://schemas.openxmlformats.org/officeDocument/2006/relationships/hyperlink" Target="file:///C:\Users\Agostina\AppData\Roaming\Microsoft\Documentos\Documentos\Extensi&#243;n\Convenios%20y%20Actas%20Complementarias%20(Escaneos)\2020\Resoluci&#243;n%2008-21-%20CS%20(Convenio%20Sadosky).pdf" TargetMode="External"/><Relationship Id="rId17" Type="http://schemas.openxmlformats.org/officeDocument/2006/relationships/hyperlink" Target="file:///C:\Users\Luis%20Olguin\AppData\Roaming\Microsoft\Excel\Documentos\Documentos\Extensi&#243;n\Convenios%20y%20Actas%20Complementarias%20(Escaneos)\2020\Acta%20Complementaria%20Golden%20Mining%20(firmada).pdf" TargetMode="External"/><Relationship Id="rId2" Type="http://schemas.openxmlformats.org/officeDocument/2006/relationships/hyperlink" Target="file:///C:\Users\Agostina\AppData\Roaming\Microsoft\Documentos\Documentos\Extensi&#243;n\Convenios%20y%20Actas%20Complementarias%20(Escaneos)\2021\A.C.%20Secretar&#237;a%20de%20Estado%20de%20Seguridad%20y%20Orden%20P&#250;blico%20(2-12-2021).pdf" TargetMode="External"/><Relationship Id="rId16" Type="http://schemas.openxmlformats.org/officeDocument/2006/relationships/hyperlink" Target="file:///C:\Users\Luis%20Olguin\AppData\Roaming\Microsoft\Excel\Documentos\Documentos\Extensi&#243;n\Convenios%20y%20Actas%20Complementarias%20(Escaneos)\2022\Acta%20Interfacultades%20FFHA%20FCEFN.pdf" TargetMode="External"/><Relationship Id="rId20" Type="http://schemas.openxmlformats.org/officeDocument/2006/relationships/hyperlink" Target="file:///C:\Users\Luis%20Olguin\AppData\Roaming\Microsoft\Excel\Documentos\Documentos\Extensi&#243;n\Convenios%20y%20Actas%20Complementarias%20(Escaneos)\2022\23-08_Acta_Complementaria_-_Municipalidad_de_Chimbas_-_FCEFyN_1881_047.pdf" TargetMode="External"/><Relationship Id="rId1" Type="http://schemas.openxmlformats.org/officeDocument/2006/relationships/hyperlink" Target="file:///C:\Users\Agostina\AppData\Roaming\Microsoft\Documentos\Documentos\Extensi&#243;n\Convenios%20y%20Actas%20Complementarias%20(Escaneos)\2022\A.C.%20con%20SEADyS.%20Edici&#243;n%20de%20ejemplares%20Requerimientos%20H&#237;dricos%20para%20especies%20arb&#243;reas.%20(29-03-2022.pdf" TargetMode="External"/><Relationship Id="rId6" Type="http://schemas.openxmlformats.org/officeDocument/2006/relationships/hyperlink" Target="file:///C:\Users\Agostina\AppData\Roaming\Microsoft\Documentos\Documentos\Extensi&#243;n\Convenios%20y%20Actas%20Complementarias%20(Escaneos)\2021\Convenio%20Bioandina.pdf" TargetMode="External"/><Relationship Id="rId11" Type="http://schemas.openxmlformats.org/officeDocument/2006/relationships/hyperlink" Target="file:///C:\Users\Agostina\AppData\Roaming\Microsoft\Documentos\Documentos\Extensi&#243;n\Convenios%20y%20Actas%20Complementarias%20(Escaneos)\2021\Convenio%20Espec&#237;fico%20Accusys%20Technology%20SRL.pdf" TargetMode="External"/><Relationship Id="rId5" Type="http://schemas.openxmlformats.org/officeDocument/2006/relationships/hyperlink" Target="file:///C:\Users\Agostina\AppData\Roaming\Microsoft\Documentos\Documentos\Extensi&#243;n\Convenios%20y%20Actas%20Complementarias%20(Escaneos)\2021\Resoluci&#243;n%20027-21-CS%20(Bioandina).pdf" TargetMode="External"/><Relationship Id="rId15" Type="http://schemas.openxmlformats.org/officeDocument/2006/relationships/hyperlink" Target="file:///C:\Users\Luis%20Olguin\AppData\Roaming\Microsoft\Excel\Documentos\Documentos\Extensi&#243;n\Convenios%20y%20Actas%20Complementarias%20(Escaneos)\2022\Res.%2087-21%20Aprueba%20Acta%20Comp%20Interfacultades%20FFHA-FCEFN.%20(Corregida)docx.pdf" TargetMode="External"/><Relationship Id="rId23" Type="http://schemas.openxmlformats.org/officeDocument/2006/relationships/hyperlink" Target="file:///C:\Users\Luis%20Olguin\AppData\Roaming\Microsoft\Excel\Documentos\Documentos\Extensi&#243;n\Convenios%20y%20Actas%20Complementarias%20(Escaneos)\2022\Convenio%20Practicas%20Profesionales%20Situadas%20No%20Rentadas%20WES.pdf" TargetMode="External"/><Relationship Id="rId10" Type="http://schemas.openxmlformats.org/officeDocument/2006/relationships/hyperlink" Target="file:///C:\Users\Agostina\AppData\Roaming\Microsoft\Documentos\Documentos\Extensi&#243;n\Convenios%20y%20Actas%20Complementarias%20(Escaneos)\2019\Acta%20Complementaria%20SECITI%20Tecnolog&#237;as%20M&#243;viles%20para%20Salud.pdf" TargetMode="External"/><Relationship Id="rId19" Type="http://schemas.openxmlformats.org/officeDocument/2006/relationships/hyperlink" Target="file:///C:\Users\Luis%20Olguin\AppData\Roaming\Microsoft\Excel\Documentos\Documentos\Extensi&#243;n\Convenios%20y%20Actas%20Complementarias%20(Escaneos)\2022\23-07_Acta_Complementaria_-_Municipalidad_de_Pocito_y_FCEFyN_1880_028.pdf" TargetMode="External"/><Relationship Id="rId4" Type="http://schemas.openxmlformats.org/officeDocument/2006/relationships/hyperlink" Target="file:///C:\Users\Agostina\AppData\Roaming\Microsoft\Documentos\Documentos\Extensi&#243;n\Convenios%20y%20Actas%20Complementarias%20(Escaneos)\2021\Vector%20Ausenco\Convenio%20Vector%20Argentina%20(Ausenco).pdf" TargetMode="External"/><Relationship Id="rId9" Type="http://schemas.openxmlformats.org/officeDocument/2006/relationships/hyperlink" Target="file:///C:\Users\Agostina\AppData\Roaming\Microsoft\Documentos\Documentos\Extensi&#243;n\Convenios%20y%20Actas%20Complementarias%20(Escaneos)\2021\Acta%20Constitutiva%20Red%20Regional%20PSE%20zona%20cuyo.pdf" TargetMode="External"/><Relationship Id="rId14" Type="http://schemas.openxmlformats.org/officeDocument/2006/relationships/hyperlink" Target="file:///C:\Users\Luis%20Olguin\AppData\Roaming\Microsoft\Excel\Documentos\Documentos\Extensi&#243;n\Convenios%20y%20Actas%20Complementarias%20(Escaneos)\2020\Convenio%20de%20Servicio%20de%20Asistencia%20Tecnica%20entre%20Fundaci&#243;n%20Dr.%20Sadosky.pdf" TargetMode="External"/><Relationship Id="rId22" Type="http://schemas.openxmlformats.org/officeDocument/2006/relationships/hyperlink" Target="file:///C:\Users\Luis%20Olguin\AppData\Roaming\Microsoft\Excel\Documentos\Documentos\Extensi&#243;n\Convenios%20y%20Actas%20Complementarias%20(Escaneos)\2018\convenio_entre_UNSJ_y_TIERRA_DEL_FUEGO.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Z43"/>
  <sheetViews>
    <sheetView tabSelected="1" zoomScale="96" zoomScaleNormal="96" workbookViewId="0">
      <pane xSplit="2" ySplit="2" topLeftCell="S3" activePane="bottomRight" state="frozen"/>
      <selection pane="topRight" activeCell="C1" sqref="C1"/>
      <selection pane="bottomLeft" activeCell="A3" sqref="A3"/>
      <selection pane="bottomRight" activeCell="S6" sqref="S6"/>
    </sheetView>
  </sheetViews>
  <sheetFormatPr baseColWidth="10" defaultRowHeight="15" x14ac:dyDescent="0.25"/>
  <cols>
    <col min="1" max="1" width="11.42578125" style="93"/>
    <col min="2" max="2" width="16.28515625" style="110" customWidth="1"/>
    <col min="3" max="3" width="31.85546875" customWidth="1"/>
    <col min="6" max="6" width="23.85546875" customWidth="1"/>
    <col min="7" max="7" width="63" style="87" customWidth="1"/>
    <col min="8" max="8" width="29.85546875" customWidth="1"/>
    <col min="9" max="10" width="20.5703125" customWidth="1"/>
    <col min="11" max="11" width="21.7109375" customWidth="1"/>
    <col min="12" max="13" width="20.5703125" customWidth="1"/>
    <col min="14" max="14" width="24.85546875" customWidth="1"/>
    <col min="15" max="16" width="22.7109375" customWidth="1"/>
    <col min="17" max="17" width="21.7109375" customWidth="1"/>
    <col min="18" max="19" width="20.5703125" customWidth="1"/>
    <col min="20" max="20" width="15.7109375" customWidth="1"/>
    <col min="21" max="21" width="10.5703125" customWidth="1"/>
    <col min="22" max="22" width="45.28515625" customWidth="1"/>
    <col min="23" max="23" width="2.7109375" style="112" customWidth="1"/>
    <col min="24" max="24" width="15.7109375" customWidth="1"/>
    <col min="25" max="25" width="10.5703125" customWidth="1"/>
    <col min="26" max="26" width="45.28515625" customWidth="1"/>
  </cols>
  <sheetData>
    <row r="1" spans="1:26" ht="24.75" customHeight="1" x14ac:dyDescent="0.45">
      <c r="C1" s="121" t="s">
        <v>288</v>
      </c>
      <c r="D1" s="115"/>
      <c r="E1" s="115"/>
      <c r="F1" s="115"/>
      <c r="G1" s="116"/>
      <c r="H1" s="122" t="s">
        <v>278</v>
      </c>
      <c r="I1" s="117"/>
      <c r="J1" s="117"/>
      <c r="K1" s="123" t="s">
        <v>275</v>
      </c>
      <c r="L1" s="118"/>
      <c r="M1" s="119"/>
      <c r="N1" s="126" t="s">
        <v>262</v>
      </c>
      <c r="O1" s="127"/>
      <c r="P1" s="127"/>
      <c r="Q1" s="128" t="s">
        <v>266</v>
      </c>
      <c r="R1" s="127"/>
      <c r="S1" s="129"/>
      <c r="T1" s="124" t="s">
        <v>328</v>
      </c>
      <c r="U1" s="120"/>
      <c r="V1" s="120"/>
      <c r="X1" s="125" t="s">
        <v>329</v>
      </c>
      <c r="Y1" s="120"/>
      <c r="Z1" s="120"/>
    </row>
    <row r="2" spans="1:26" s="87" customFormat="1" ht="30" x14ac:dyDescent="0.25">
      <c r="A2" s="95" t="s">
        <v>253</v>
      </c>
      <c r="B2" s="111" t="s">
        <v>254</v>
      </c>
      <c r="C2" s="99" t="s">
        <v>258</v>
      </c>
      <c r="D2" s="99" t="s">
        <v>255</v>
      </c>
      <c r="E2" s="99" t="s">
        <v>256</v>
      </c>
      <c r="F2" s="99" t="s">
        <v>276</v>
      </c>
      <c r="G2" s="99" t="s">
        <v>257</v>
      </c>
      <c r="H2" s="97" t="s">
        <v>263</v>
      </c>
      <c r="I2" s="97" t="s">
        <v>264</v>
      </c>
      <c r="J2" s="97" t="s">
        <v>279</v>
      </c>
      <c r="K2" s="98" t="s">
        <v>263</v>
      </c>
      <c r="L2" s="98" t="s">
        <v>264</v>
      </c>
      <c r="M2" s="98" t="s">
        <v>279</v>
      </c>
      <c r="N2" s="130" t="s">
        <v>263</v>
      </c>
      <c r="O2" s="130" t="s">
        <v>264</v>
      </c>
      <c r="P2" s="130" t="s">
        <v>279</v>
      </c>
      <c r="Q2" s="130" t="s">
        <v>263</v>
      </c>
      <c r="R2" s="130" t="s">
        <v>264</v>
      </c>
      <c r="S2" s="130" t="s">
        <v>279</v>
      </c>
      <c r="T2" s="96" t="s">
        <v>280</v>
      </c>
      <c r="U2" s="96" t="s">
        <v>281</v>
      </c>
      <c r="V2" s="96" t="s">
        <v>287</v>
      </c>
      <c r="W2" s="113"/>
      <c r="X2" s="96" t="s">
        <v>280</v>
      </c>
      <c r="Y2" s="96" t="s">
        <v>281</v>
      </c>
      <c r="Z2" s="96" t="s">
        <v>287</v>
      </c>
    </row>
    <row r="3" spans="1:26" ht="32.25" customHeight="1" x14ac:dyDescent="0.25">
      <c r="B3" s="110" t="s">
        <v>342</v>
      </c>
      <c r="C3" s="87" t="s">
        <v>49</v>
      </c>
      <c r="D3" s="94">
        <v>44077</v>
      </c>
      <c r="E3" s="94">
        <v>47391</v>
      </c>
      <c r="F3" s="87" t="s">
        <v>277</v>
      </c>
      <c r="G3" s="87" t="s">
        <v>341</v>
      </c>
      <c r="H3" s="114" t="s">
        <v>343</v>
      </c>
      <c r="I3" s="114" t="s">
        <v>265</v>
      </c>
      <c r="J3" s="114" t="s">
        <v>265</v>
      </c>
      <c r="K3" s="114"/>
      <c r="L3" s="114"/>
      <c r="M3" s="114"/>
      <c r="N3" s="87" t="s">
        <v>344</v>
      </c>
      <c r="O3" s="87"/>
      <c r="P3" s="87"/>
      <c r="Q3" s="87"/>
      <c r="R3" s="87"/>
      <c r="S3" s="87"/>
      <c r="T3">
        <v>0</v>
      </c>
      <c r="U3" s="87"/>
      <c r="V3" s="87"/>
      <c r="Y3" s="87"/>
      <c r="Z3" s="87"/>
    </row>
    <row r="4" spans="1:26" ht="32.25" customHeight="1" x14ac:dyDescent="0.25">
      <c r="B4" s="110" t="s">
        <v>345</v>
      </c>
      <c r="C4" s="87" t="s">
        <v>149</v>
      </c>
      <c r="D4" s="94">
        <v>44077</v>
      </c>
      <c r="E4" s="94">
        <v>44165</v>
      </c>
      <c r="F4" s="87">
        <v>12</v>
      </c>
      <c r="G4" s="87" t="s">
        <v>346</v>
      </c>
      <c r="H4" s="87" t="s">
        <v>347</v>
      </c>
      <c r="I4" s="87"/>
      <c r="J4" s="87"/>
      <c r="K4" s="87"/>
      <c r="L4" s="87"/>
      <c r="M4" s="87"/>
      <c r="N4" s="87" t="s">
        <v>299</v>
      </c>
      <c r="O4" s="87"/>
      <c r="P4" s="87"/>
      <c r="Q4" s="87"/>
      <c r="R4" s="87"/>
      <c r="S4" s="87"/>
      <c r="T4">
        <v>18000</v>
      </c>
      <c r="U4" s="87" t="s">
        <v>282</v>
      </c>
      <c r="V4" s="87"/>
      <c r="Y4" s="87"/>
      <c r="Z4" s="87"/>
    </row>
    <row r="5" spans="1:26" ht="32.25" customHeight="1" x14ac:dyDescent="0.25">
      <c r="B5" s="110" t="s">
        <v>302</v>
      </c>
      <c r="C5" s="87" t="s">
        <v>154</v>
      </c>
      <c r="D5" s="94">
        <v>44446</v>
      </c>
      <c r="E5" s="94">
        <v>44561</v>
      </c>
      <c r="F5" s="87" t="s">
        <v>277</v>
      </c>
      <c r="G5" s="87" t="s">
        <v>309</v>
      </c>
      <c r="H5" s="87" t="s">
        <v>303</v>
      </c>
      <c r="I5" s="87" t="s">
        <v>265</v>
      </c>
      <c r="J5" s="87" t="s">
        <v>265</v>
      </c>
      <c r="K5" s="87" t="s">
        <v>265</v>
      </c>
      <c r="L5" s="87" t="s">
        <v>265</v>
      </c>
      <c r="M5" s="87" t="s">
        <v>265</v>
      </c>
      <c r="N5" s="87" t="s">
        <v>304</v>
      </c>
      <c r="O5" s="87"/>
      <c r="P5" s="87"/>
      <c r="Q5" s="87" t="s">
        <v>305</v>
      </c>
      <c r="R5" s="87" t="s">
        <v>265</v>
      </c>
      <c r="S5" s="87" t="s">
        <v>265</v>
      </c>
      <c r="T5">
        <v>120200</v>
      </c>
      <c r="U5" s="87" t="s">
        <v>282</v>
      </c>
      <c r="V5" s="87"/>
      <c r="X5">
        <v>0</v>
      </c>
      <c r="Y5" s="87" t="s">
        <v>282</v>
      </c>
      <c r="Z5" s="87"/>
    </row>
    <row r="6" spans="1:26" ht="32.25" customHeight="1" x14ac:dyDescent="0.25">
      <c r="B6" s="110" t="s">
        <v>310</v>
      </c>
      <c r="C6" s="87" t="s">
        <v>154</v>
      </c>
      <c r="D6" s="94">
        <v>44530</v>
      </c>
      <c r="E6" s="94">
        <v>45991</v>
      </c>
      <c r="F6" s="87">
        <v>48</v>
      </c>
      <c r="G6" s="87" t="s">
        <v>311</v>
      </c>
      <c r="H6" s="87" t="s">
        <v>312</v>
      </c>
      <c r="I6" s="87"/>
      <c r="J6" s="87"/>
      <c r="K6" s="87" t="s">
        <v>265</v>
      </c>
      <c r="L6" s="87" t="s">
        <v>265</v>
      </c>
      <c r="M6" s="87" t="s">
        <v>265</v>
      </c>
      <c r="N6" s="87" t="s">
        <v>298</v>
      </c>
      <c r="O6" s="87" t="s">
        <v>265</v>
      </c>
      <c r="P6" s="87" t="s">
        <v>265</v>
      </c>
      <c r="Q6" s="87" t="s">
        <v>265</v>
      </c>
      <c r="R6" s="87"/>
      <c r="S6" s="87"/>
      <c r="T6">
        <v>0</v>
      </c>
      <c r="U6" s="87"/>
      <c r="V6" s="87"/>
      <c r="X6">
        <v>0</v>
      </c>
      <c r="Y6" s="87" t="s">
        <v>282</v>
      </c>
      <c r="Z6" s="87"/>
    </row>
    <row r="7" spans="1:26" ht="32.25" customHeight="1" x14ac:dyDescent="0.25">
      <c r="B7" s="110" t="s">
        <v>340</v>
      </c>
      <c r="C7" s="87" t="s">
        <v>154</v>
      </c>
      <c r="D7" s="94">
        <v>44530</v>
      </c>
      <c r="E7" s="94">
        <v>47452</v>
      </c>
      <c r="F7" s="87" t="s">
        <v>277</v>
      </c>
      <c r="G7" s="87" t="s">
        <v>338</v>
      </c>
      <c r="H7" s="87" t="s">
        <v>259</v>
      </c>
      <c r="I7" s="87"/>
      <c r="J7" s="87"/>
      <c r="K7" s="87"/>
      <c r="L7" s="87"/>
      <c r="M7" s="87"/>
      <c r="N7" s="87" t="s">
        <v>325</v>
      </c>
      <c r="O7" s="87"/>
      <c r="P7" s="87"/>
      <c r="Q7" s="87"/>
      <c r="R7" s="87"/>
      <c r="S7" s="87"/>
      <c r="U7" s="87" t="s">
        <v>282</v>
      </c>
      <c r="V7" s="87" t="s">
        <v>339</v>
      </c>
      <c r="Y7" s="87"/>
      <c r="Z7" s="87"/>
    </row>
    <row r="8" spans="1:26" ht="32.25" customHeight="1" x14ac:dyDescent="0.25">
      <c r="B8" s="110" t="s">
        <v>314</v>
      </c>
      <c r="C8" s="87" t="s">
        <v>154</v>
      </c>
      <c r="D8" s="94">
        <v>44530</v>
      </c>
      <c r="E8" s="94">
        <v>44561</v>
      </c>
      <c r="F8" s="87" t="s">
        <v>277</v>
      </c>
      <c r="G8" s="87" t="s">
        <v>315</v>
      </c>
      <c r="H8" s="87" t="s">
        <v>313</v>
      </c>
      <c r="I8" s="87"/>
      <c r="J8" s="87"/>
      <c r="K8" s="87"/>
      <c r="L8" s="87"/>
      <c r="M8" s="87"/>
      <c r="N8" s="87" t="s">
        <v>316</v>
      </c>
      <c r="O8" s="87"/>
      <c r="P8" s="87"/>
      <c r="Q8" s="87" t="s">
        <v>317</v>
      </c>
      <c r="R8" s="87"/>
      <c r="S8" s="87"/>
      <c r="T8">
        <f>9000+200*3</f>
        <v>9600</v>
      </c>
      <c r="U8" s="87" t="s">
        <v>283</v>
      </c>
      <c r="V8" s="87" t="s">
        <v>318</v>
      </c>
      <c r="X8">
        <v>0</v>
      </c>
      <c r="Y8" s="87" t="s">
        <v>283</v>
      </c>
      <c r="Z8" s="87"/>
    </row>
    <row r="9" spans="1:26" ht="32.25" customHeight="1" x14ac:dyDescent="0.25">
      <c r="B9" s="110" t="s">
        <v>335</v>
      </c>
      <c r="C9" s="87" t="s">
        <v>154</v>
      </c>
      <c r="D9" s="94">
        <v>44530</v>
      </c>
      <c r="E9" s="94">
        <v>45260</v>
      </c>
      <c r="F9" s="87" t="s">
        <v>277</v>
      </c>
      <c r="G9" s="87" t="s">
        <v>336</v>
      </c>
      <c r="H9" s="87" t="s">
        <v>29</v>
      </c>
      <c r="I9" s="87"/>
      <c r="J9" s="87"/>
      <c r="K9" s="87"/>
      <c r="L9" s="87"/>
      <c r="M9" s="87"/>
      <c r="N9" s="87" t="s">
        <v>299</v>
      </c>
      <c r="O9" s="87"/>
      <c r="P9" s="87"/>
      <c r="Q9" s="87"/>
      <c r="R9" s="87"/>
      <c r="S9" s="87"/>
      <c r="T9">
        <v>500000</v>
      </c>
      <c r="U9" s="87"/>
      <c r="V9" s="87" t="s">
        <v>337</v>
      </c>
      <c r="Y9" s="87"/>
      <c r="Z9" s="87"/>
    </row>
    <row r="10" spans="1:26" ht="32.25" customHeight="1" x14ac:dyDescent="0.25">
      <c r="B10" s="110" t="s">
        <v>348</v>
      </c>
      <c r="C10" s="87" t="s">
        <v>154</v>
      </c>
      <c r="D10" s="94">
        <v>44635</v>
      </c>
      <c r="E10" s="94"/>
      <c r="F10" s="87" t="s">
        <v>277</v>
      </c>
      <c r="G10" s="87" t="s">
        <v>319</v>
      </c>
      <c r="H10" s="87" t="s">
        <v>186</v>
      </c>
      <c r="I10" s="87" t="s">
        <v>265</v>
      </c>
      <c r="J10" s="87" t="s">
        <v>265</v>
      </c>
      <c r="K10" s="87" t="s">
        <v>265</v>
      </c>
      <c r="L10" s="87" t="s">
        <v>265</v>
      </c>
      <c r="M10" s="87" t="s">
        <v>265</v>
      </c>
      <c r="N10" s="87" t="s">
        <v>189</v>
      </c>
      <c r="O10" s="87"/>
      <c r="P10" s="87"/>
      <c r="Q10" s="87" t="s">
        <v>274</v>
      </c>
      <c r="R10" s="87"/>
      <c r="S10" s="87"/>
      <c r="T10">
        <v>0</v>
      </c>
      <c r="U10" s="87" t="s">
        <v>282</v>
      </c>
      <c r="V10" s="87" t="s">
        <v>320</v>
      </c>
      <c r="X10">
        <v>0</v>
      </c>
      <c r="Y10" s="87" t="s">
        <v>282</v>
      </c>
      <c r="Z10" s="87"/>
    </row>
    <row r="11" spans="1:26" ht="32.25" customHeight="1" x14ac:dyDescent="0.25">
      <c r="B11" s="110" t="s">
        <v>349</v>
      </c>
      <c r="C11" s="87" t="s">
        <v>49</v>
      </c>
      <c r="D11" s="94">
        <v>44635</v>
      </c>
      <c r="E11" s="94"/>
      <c r="F11" s="87"/>
      <c r="G11" s="87" t="s">
        <v>350</v>
      </c>
      <c r="H11" s="87" t="s">
        <v>27</v>
      </c>
      <c r="I11" s="87"/>
      <c r="J11" s="87"/>
      <c r="K11" s="87"/>
      <c r="L11" s="87"/>
      <c r="M11" s="87"/>
      <c r="N11" s="87" t="s">
        <v>344</v>
      </c>
      <c r="O11" s="87"/>
      <c r="P11" s="87"/>
      <c r="Q11" s="87"/>
      <c r="R11" s="87"/>
      <c r="S11" s="87"/>
      <c r="T11">
        <v>333000</v>
      </c>
      <c r="U11" s="87" t="s">
        <v>282</v>
      </c>
      <c r="V11" s="87"/>
      <c r="Y11" s="87"/>
      <c r="Z11" s="87"/>
    </row>
    <row r="12" spans="1:26" ht="32.25" customHeight="1" x14ac:dyDescent="0.25">
      <c r="B12" s="110" t="s">
        <v>352</v>
      </c>
      <c r="C12" s="87" t="s">
        <v>49</v>
      </c>
      <c r="D12" s="94">
        <v>44635</v>
      </c>
      <c r="E12" s="94"/>
      <c r="F12" s="87"/>
      <c r="G12" s="87" t="s">
        <v>355</v>
      </c>
      <c r="H12" s="87" t="s">
        <v>196</v>
      </c>
      <c r="I12" s="87"/>
      <c r="J12" s="87"/>
      <c r="K12" s="87" t="s">
        <v>354</v>
      </c>
      <c r="L12" s="87"/>
      <c r="M12" s="87"/>
      <c r="N12" s="87" t="s">
        <v>189</v>
      </c>
      <c r="O12" s="87"/>
      <c r="P12" s="87"/>
      <c r="Q12" s="87" t="s">
        <v>274</v>
      </c>
      <c r="R12" s="87"/>
      <c r="S12" s="87"/>
      <c r="T12">
        <v>0</v>
      </c>
      <c r="U12" s="87"/>
      <c r="V12" s="87" t="s">
        <v>353</v>
      </c>
      <c r="Y12" s="87"/>
      <c r="Z12" s="87"/>
    </row>
    <row r="13" spans="1:26" ht="32.25" customHeight="1" x14ac:dyDescent="0.25">
      <c r="B13" s="110" t="s">
        <v>348</v>
      </c>
      <c r="C13" s="87" t="s">
        <v>49</v>
      </c>
      <c r="D13" s="94">
        <v>44635</v>
      </c>
      <c r="E13" s="94"/>
      <c r="F13" s="87"/>
      <c r="G13" s="87" t="s">
        <v>351</v>
      </c>
      <c r="H13" s="87" t="s">
        <v>186</v>
      </c>
      <c r="I13" s="87"/>
      <c r="J13" s="87"/>
      <c r="K13" s="87" t="s">
        <v>356</v>
      </c>
      <c r="L13" s="87"/>
      <c r="M13" s="87"/>
      <c r="N13" s="87" t="s">
        <v>189</v>
      </c>
      <c r="O13" s="87"/>
      <c r="P13" s="87"/>
      <c r="Q13" s="87" t="s">
        <v>274</v>
      </c>
      <c r="R13" s="87"/>
      <c r="S13" s="87"/>
      <c r="U13" s="87"/>
      <c r="V13" s="87" t="s">
        <v>353</v>
      </c>
      <c r="Y13" s="87"/>
      <c r="Z13" s="87"/>
    </row>
    <row r="14" spans="1:26" ht="32.25" customHeight="1" x14ac:dyDescent="0.25">
      <c r="B14" s="110" t="s">
        <v>357</v>
      </c>
      <c r="C14" s="87" t="s">
        <v>49</v>
      </c>
      <c r="D14" s="94">
        <v>44635</v>
      </c>
      <c r="E14" s="94"/>
      <c r="F14" s="87"/>
      <c r="G14" s="87" t="s">
        <v>358</v>
      </c>
      <c r="H14" s="87" t="s">
        <v>205</v>
      </c>
      <c r="I14" s="87"/>
      <c r="J14" s="87"/>
      <c r="K14" s="87" t="s">
        <v>359</v>
      </c>
      <c r="L14" s="87"/>
      <c r="M14" s="87"/>
      <c r="N14" s="87" t="s">
        <v>189</v>
      </c>
      <c r="O14" s="87"/>
      <c r="P14" s="87"/>
      <c r="Q14" s="87" t="s">
        <v>273</v>
      </c>
      <c r="R14" s="87"/>
      <c r="S14" s="87"/>
      <c r="U14" s="87"/>
      <c r="V14" s="87" t="s">
        <v>353</v>
      </c>
      <c r="Y14" s="87"/>
      <c r="Z14" s="87"/>
    </row>
    <row r="15" spans="1:26" ht="32.25" customHeight="1" x14ac:dyDescent="0.25">
      <c r="B15" s="110" t="s">
        <v>361</v>
      </c>
      <c r="C15" s="87" t="s">
        <v>49</v>
      </c>
      <c r="D15" s="94">
        <v>44635</v>
      </c>
      <c r="E15" s="94">
        <v>45731</v>
      </c>
      <c r="F15" s="87"/>
      <c r="G15" s="87" t="s">
        <v>360</v>
      </c>
      <c r="H15" s="87" t="s">
        <v>362</v>
      </c>
      <c r="I15" s="87"/>
      <c r="J15" s="87"/>
      <c r="K15" s="87"/>
      <c r="L15" s="87"/>
      <c r="M15" s="87"/>
      <c r="N15" s="87" t="s">
        <v>226</v>
      </c>
      <c r="O15" s="87"/>
      <c r="P15" s="87"/>
      <c r="Q15" s="87"/>
      <c r="R15" s="87"/>
      <c r="S15" s="87"/>
      <c r="U15" s="87"/>
      <c r="V15" s="87"/>
      <c r="Y15" s="87"/>
      <c r="Z15" s="87"/>
    </row>
    <row r="16" spans="1:26" ht="32.25" customHeight="1" x14ac:dyDescent="0.25">
      <c r="B16" s="110" t="s">
        <v>321</v>
      </c>
      <c r="C16" s="87" t="s">
        <v>327</v>
      </c>
      <c r="D16" s="94">
        <v>44666</v>
      </c>
      <c r="E16" s="94"/>
      <c r="F16" s="87" t="s">
        <v>277</v>
      </c>
      <c r="G16" s="87" t="s">
        <v>322</v>
      </c>
      <c r="H16" s="87" t="s">
        <v>223</v>
      </c>
      <c r="I16" s="87"/>
      <c r="J16" s="87"/>
      <c r="K16" s="87" t="s">
        <v>323</v>
      </c>
      <c r="L16" s="87" t="s">
        <v>324</v>
      </c>
      <c r="M16" s="87"/>
      <c r="N16" s="87" t="s">
        <v>325</v>
      </c>
      <c r="O16" s="87"/>
      <c r="P16" s="87"/>
      <c r="Q16" s="87"/>
      <c r="R16" s="87"/>
      <c r="S16" s="87"/>
      <c r="T16">
        <v>400000</v>
      </c>
      <c r="U16" s="87" t="s">
        <v>282</v>
      </c>
      <c r="V16" s="87" t="s">
        <v>326</v>
      </c>
      <c r="X16">
        <v>200000</v>
      </c>
      <c r="Y16" s="87" t="s">
        <v>282</v>
      </c>
      <c r="Z16" s="87" t="s">
        <v>330</v>
      </c>
    </row>
    <row r="17" spans="2:26" ht="32.25" customHeight="1" x14ac:dyDescent="0.25">
      <c r="B17" s="110" t="s">
        <v>331</v>
      </c>
      <c r="C17" s="87" t="s">
        <v>161</v>
      </c>
      <c r="D17" s="94">
        <v>44719</v>
      </c>
      <c r="E17" s="94">
        <v>46545</v>
      </c>
      <c r="F17" s="87">
        <v>60</v>
      </c>
      <c r="G17" s="87" t="s">
        <v>332</v>
      </c>
      <c r="H17" s="87" t="s">
        <v>223</v>
      </c>
      <c r="I17" s="87"/>
      <c r="J17" s="87"/>
      <c r="K17" s="87" t="s">
        <v>333</v>
      </c>
      <c r="L17" s="87" t="s">
        <v>265</v>
      </c>
      <c r="M17" s="87" t="s">
        <v>265</v>
      </c>
      <c r="N17" s="87" t="s">
        <v>226</v>
      </c>
      <c r="O17" s="87"/>
      <c r="P17" s="87"/>
      <c r="Q17" s="87" t="s">
        <v>334</v>
      </c>
      <c r="R17" s="87"/>
      <c r="S17" s="87"/>
      <c r="T17">
        <v>0</v>
      </c>
      <c r="U17" s="87" t="s">
        <v>282</v>
      </c>
      <c r="V17" s="87"/>
      <c r="Y17" s="87"/>
      <c r="Z17" s="87"/>
    </row>
    <row r="18" spans="2:26" ht="32.25" customHeight="1" x14ac:dyDescent="0.25">
      <c r="B18" s="110" t="s">
        <v>289</v>
      </c>
      <c r="C18" s="87" t="s">
        <v>154</v>
      </c>
      <c r="D18" s="94">
        <v>44789</v>
      </c>
      <c r="E18" s="94">
        <v>45520</v>
      </c>
      <c r="F18" s="87">
        <v>24</v>
      </c>
      <c r="G18" s="87" t="s">
        <v>290</v>
      </c>
      <c r="H18" s="87" t="s">
        <v>295</v>
      </c>
      <c r="I18" s="87" t="s">
        <v>265</v>
      </c>
      <c r="J18" s="87" t="s">
        <v>265</v>
      </c>
      <c r="K18" s="87" t="s">
        <v>293</v>
      </c>
      <c r="L18" s="87" t="s">
        <v>294</v>
      </c>
      <c r="M18" s="87" t="s">
        <v>265</v>
      </c>
      <c r="N18" s="87" t="s">
        <v>296</v>
      </c>
      <c r="O18" s="87" t="s">
        <v>265</v>
      </c>
      <c r="P18" s="87" t="s">
        <v>265</v>
      </c>
      <c r="Q18" s="87" t="s">
        <v>292</v>
      </c>
      <c r="R18" s="87" t="s">
        <v>265</v>
      </c>
      <c r="S18" s="87" t="s">
        <v>265</v>
      </c>
      <c r="T18">
        <v>0</v>
      </c>
      <c r="U18" s="87" t="s">
        <v>282</v>
      </c>
      <c r="V18" s="87" t="s">
        <v>301</v>
      </c>
      <c r="X18">
        <v>0</v>
      </c>
      <c r="Y18" s="87" t="s">
        <v>282</v>
      </c>
      <c r="Z18" s="87"/>
    </row>
    <row r="19" spans="2:26" ht="32.25" customHeight="1" x14ac:dyDescent="0.25">
      <c r="C19" s="87"/>
      <c r="D19" s="94"/>
      <c r="E19" s="94"/>
      <c r="F19" s="87"/>
      <c r="H19" s="87"/>
      <c r="I19" s="87"/>
      <c r="J19" s="87"/>
      <c r="K19" s="87"/>
      <c r="L19" s="87"/>
      <c r="M19" s="87"/>
      <c r="N19" s="87"/>
      <c r="O19" s="87"/>
      <c r="P19" s="87"/>
      <c r="Q19" s="87"/>
      <c r="R19" s="87"/>
      <c r="S19" s="87"/>
      <c r="U19" s="87"/>
      <c r="V19" s="87"/>
      <c r="Y19" s="87"/>
      <c r="Z19" s="87"/>
    </row>
    <row r="20" spans="2:26" ht="32.25" customHeight="1" x14ac:dyDescent="0.25">
      <c r="C20" s="87"/>
      <c r="D20" s="94"/>
      <c r="E20" s="94"/>
      <c r="F20" s="87"/>
      <c r="H20" s="87"/>
      <c r="I20" s="87"/>
      <c r="J20" s="87"/>
      <c r="K20" s="87"/>
      <c r="L20" s="87"/>
      <c r="M20" s="87"/>
      <c r="N20" s="87"/>
      <c r="O20" s="87"/>
      <c r="P20" s="87"/>
      <c r="Q20" s="87"/>
      <c r="R20" s="87"/>
      <c r="S20" s="87"/>
      <c r="U20" s="87"/>
      <c r="V20" s="87"/>
      <c r="Y20" s="87"/>
      <c r="Z20" s="87"/>
    </row>
    <row r="21" spans="2:26" ht="32.25" customHeight="1" x14ac:dyDescent="0.25">
      <c r="C21" s="87"/>
      <c r="D21" s="94"/>
      <c r="E21" s="94"/>
      <c r="F21" s="87"/>
      <c r="H21" s="87"/>
      <c r="I21" s="87"/>
      <c r="J21" s="87"/>
      <c r="K21" s="87"/>
      <c r="L21" s="87"/>
      <c r="M21" s="87"/>
      <c r="N21" s="87"/>
      <c r="O21" s="87"/>
      <c r="P21" s="87"/>
      <c r="Q21" s="87"/>
      <c r="R21" s="87"/>
      <c r="S21" s="87"/>
      <c r="U21" s="87"/>
      <c r="V21" s="87"/>
      <c r="Y21" s="87"/>
      <c r="Z21" s="87"/>
    </row>
    <row r="22" spans="2:26" ht="32.25" customHeight="1" x14ac:dyDescent="0.25">
      <c r="C22" s="87"/>
      <c r="D22" s="94"/>
      <c r="E22" s="94"/>
      <c r="F22" s="87"/>
      <c r="H22" s="87"/>
      <c r="I22" s="87"/>
      <c r="J22" s="87"/>
      <c r="K22" s="87"/>
      <c r="L22" s="87"/>
      <c r="M22" s="87"/>
      <c r="N22" s="87"/>
      <c r="O22" s="87"/>
      <c r="P22" s="87"/>
      <c r="Q22" s="87"/>
      <c r="R22" s="87"/>
      <c r="S22" s="87"/>
      <c r="U22" s="87"/>
      <c r="V22" s="87"/>
      <c r="Y22" s="87"/>
      <c r="Z22" s="87"/>
    </row>
    <row r="23" spans="2:26" ht="32.25" customHeight="1" x14ac:dyDescent="0.25">
      <c r="C23" s="87"/>
      <c r="D23" s="94"/>
      <c r="E23" s="94"/>
      <c r="F23" s="87"/>
      <c r="H23" s="87"/>
      <c r="I23" s="87"/>
      <c r="J23" s="87"/>
      <c r="K23" s="87"/>
      <c r="L23" s="87"/>
      <c r="M23" s="87"/>
      <c r="N23" s="87"/>
      <c r="O23" s="87"/>
      <c r="P23" s="87"/>
      <c r="Q23" s="87"/>
      <c r="R23" s="87"/>
      <c r="S23" s="87"/>
      <c r="U23" s="87"/>
      <c r="V23" s="87"/>
      <c r="Y23" s="87"/>
      <c r="Z23" s="87"/>
    </row>
    <row r="24" spans="2:26" ht="32.25" customHeight="1" x14ac:dyDescent="0.25">
      <c r="C24" s="87"/>
      <c r="D24" s="94"/>
      <c r="E24" s="94"/>
      <c r="F24" s="87"/>
      <c r="H24" s="87"/>
      <c r="I24" s="87"/>
      <c r="J24" s="87"/>
      <c r="K24" s="87"/>
      <c r="L24" s="87"/>
      <c r="M24" s="87"/>
      <c r="N24" s="87"/>
      <c r="O24" s="87"/>
      <c r="P24" s="87"/>
      <c r="Q24" s="87"/>
      <c r="R24" s="87"/>
      <c r="S24" s="87"/>
      <c r="U24" s="87"/>
      <c r="V24" s="87"/>
      <c r="Y24" s="87"/>
      <c r="Z24" s="87"/>
    </row>
    <row r="25" spans="2:26" ht="32.25" customHeight="1" x14ac:dyDescent="0.25">
      <c r="C25" s="87"/>
      <c r="D25" s="94"/>
      <c r="E25" s="94"/>
      <c r="F25" s="87"/>
      <c r="H25" s="87"/>
      <c r="I25" s="87"/>
      <c r="J25" s="87"/>
      <c r="K25" s="87"/>
      <c r="L25" s="87"/>
      <c r="M25" s="87"/>
      <c r="N25" s="87"/>
      <c r="O25" s="87"/>
      <c r="P25" s="87"/>
      <c r="Q25" s="87"/>
      <c r="R25" s="87"/>
      <c r="S25" s="87"/>
      <c r="U25" s="87"/>
      <c r="V25" s="87"/>
      <c r="Y25" s="87"/>
      <c r="Z25" s="87"/>
    </row>
    <row r="26" spans="2:26" ht="32.25" customHeight="1" x14ac:dyDescent="0.25">
      <c r="C26" s="87"/>
      <c r="D26" s="94"/>
      <c r="E26" s="94"/>
      <c r="F26" s="87"/>
      <c r="H26" s="87"/>
      <c r="I26" s="87"/>
      <c r="J26" s="87"/>
      <c r="K26" s="87"/>
      <c r="L26" s="87"/>
      <c r="M26" s="87"/>
      <c r="N26" s="87"/>
      <c r="O26" s="87"/>
      <c r="P26" s="87"/>
      <c r="Q26" s="87"/>
      <c r="R26" s="87"/>
      <c r="S26" s="87"/>
      <c r="U26" s="87"/>
      <c r="V26" s="87"/>
      <c r="Y26" s="87"/>
      <c r="Z26" s="87"/>
    </row>
    <row r="27" spans="2:26" ht="32.25" customHeight="1" x14ac:dyDescent="0.25">
      <c r="C27" s="87"/>
      <c r="D27" s="94"/>
      <c r="E27" s="94"/>
      <c r="F27" s="87"/>
      <c r="H27" s="87"/>
      <c r="I27" s="87"/>
      <c r="J27" s="87"/>
      <c r="K27" s="87"/>
      <c r="L27" s="87"/>
      <c r="M27" s="87"/>
      <c r="N27" s="87"/>
      <c r="O27" s="87"/>
      <c r="P27" s="87"/>
      <c r="Q27" s="87"/>
      <c r="R27" s="87"/>
      <c r="S27" s="87"/>
      <c r="U27" s="87"/>
      <c r="V27" s="87"/>
      <c r="Y27" s="87"/>
      <c r="Z27" s="87"/>
    </row>
    <row r="28" spans="2:26" ht="32.25" customHeight="1" x14ac:dyDescent="0.25">
      <c r="C28" s="87"/>
      <c r="D28" s="94"/>
      <c r="E28" s="94"/>
      <c r="F28" s="87"/>
      <c r="H28" s="87"/>
      <c r="I28" s="87"/>
      <c r="J28" s="87"/>
      <c r="K28" s="87"/>
      <c r="L28" s="87"/>
      <c r="M28" s="87"/>
      <c r="N28" s="87"/>
      <c r="O28" s="87"/>
      <c r="P28" s="87"/>
      <c r="Q28" s="87"/>
      <c r="R28" s="87"/>
      <c r="S28" s="87"/>
      <c r="U28" s="87"/>
      <c r="V28" s="87"/>
      <c r="Y28" s="87"/>
      <c r="Z28" s="87"/>
    </row>
    <row r="29" spans="2:26" ht="32.25" customHeight="1" x14ac:dyDescent="0.25">
      <c r="C29" s="87"/>
      <c r="D29" s="94"/>
      <c r="E29" s="94"/>
      <c r="F29" s="87"/>
      <c r="H29" s="87"/>
      <c r="I29" s="87"/>
      <c r="J29" s="87"/>
      <c r="K29" s="87"/>
      <c r="L29" s="87"/>
      <c r="M29" s="87"/>
      <c r="N29" s="87"/>
      <c r="O29" s="87"/>
      <c r="P29" s="87"/>
      <c r="Q29" s="87"/>
      <c r="R29" s="87"/>
      <c r="S29" s="87"/>
      <c r="U29" s="87"/>
      <c r="V29" s="87"/>
      <c r="Y29" s="87"/>
      <c r="Z29" s="87"/>
    </row>
    <row r="30" spans="2:26" ht="32.25" customHeight="1" x14ac:dyDescent="0.25">
      <c r="C30" s="87"/>
      <c r="D30" s="94"/>
      <c r="E30" s="94"/>
      <c r="F30" s="87"/>
      <c r="H30" s="87"/>
      <c r="I30" s="87"/>
      <c r="J30" s="87"/>
      <c r="K30" s="87"/>
      <c r="L30" s="87"/>
      <c r="M30" s="87"/>
      <c r="N30" s="87"/>
      <c r="O30" s="87"/>
      <c r="P30" s="87"/>
      <c r="Q30" s="87"/>
      <c r="R30" s="87"/>
      <c r="S30" s="87"/>
      <c r="U30" s="87"/>
      <c r="V30" s="87"/>
      <c r="Y30" s="87"/>
      <c r="Z30" s="87"/>
    </row>
    <row r="31" spans="2:26" ht="32.25" customHeight="1" x14ac:dyDescent="0.25">
      <c r="C31" s="87"/>
      <c r="D31" s="94"/>
      <c r="E31" s="94"/>
      <c r="F31" s="87"/>
      <c r="H31" s="87"/>
      <c r="I31" s="87"/>
      <c r="J31" s="87"/>
      <c r="K31" s="87"/>
      <c r="L31" s="87"/>
      <c r="M31" s="87"/>
      <c r="N31" s="87"/>
      <c r="O31" s="87"/>
      <c r="P31" s="87"/>
      <c r="Q31" s="87"/>
      <c r="R31" s="87"/>
      <c r="S31" s="87"/>
      <c r="U31" s="87"/>
      <c r="V31" s="87"/>
      <c r="Y31" s="87"/>
      <c r="Z31" s="87"/>
    </row>
    <row r="32" spans="2:26" ht="32.25" customHeight="1" x14ac:dyDescent="0.25">
      <c r="C32" s="87"/>
      <c r="D32" s="94"/>
      <c r="E32" s="94"/>
      <c r="F32" s="87"/>
      <c r="H32" s="87"/>
      <c r="I32" s="87"/>
      <c r="J32" s="87"/>
      <c r="K32" s="87"/>
      <c r="L32" s="87"/>
      <c r="M32" s="87"/>
      <c r="N32" s="87"/>
      <c r="O32" s="87"/>
      <c r="P32" s="87"/>
      <c r="Q32" s="87"/>
      <c r="R32" s="87"/>
      <c r="S32" s="87"/>
      <c r="U32" s="87"/>
      <c r="V32" s="87"/>
      <c r="Y32" s="87"/>
      <c r="Z32" s="87"/>
    </row>
    <row r="33" spans="3:26" ht="32.25" customHeight="1" x14ac:dyDescent="0.25">
      <c r="C33" s="87"/>
      <c r="D33" s="94"/>
      <c r="E33" s="94"/>
      <c r="F33" s="87"/>
      <c r="H33" s="87"/>
      <c r="I33" s="87"/>
      <c r="J33" s="87"/>
      <c r="K33" s="87"/>
      <c r="L33" s="87"/>
      <c r="M33" s="87"/>
      <c r="N33" s="87"/>
      <c r="O33" s="87"/>
      <c r="P33" s="87"/>
      <c r="Q33" s="87"/>
      <c r="R33" s="87"/>
      <c r="S33" s="87"/>
      <c r="U33" s="87"/>
      <c r="V33" s="87"/>
      <c r="Y33" s="87"/>
      <c r="Z33" s="87"/>
    </row>
    <row r="34" spans="3:26" ht="32.25" customHeight="1" x14ac:dyDescent="0.25">
      <c r="C34" s="87"/>
      <c r="D34" s="94"/>
      <c r="E34" s="94"/>
      <c r="F34" s="87"/>
      <c r="H34" s="87"/>
      <c r="I34" s="87"/>
      <c r="J34" s="87"/>
      <c r="K34" s="87"/>
      <c r="L34" s="87"/>
      <c r="M34" s="87"/>
      <c r="N34" s="87"/>
      <c r="O34" s="87"/>
      <c r="P34" s="87"/>
      <c r="Q34" s="87"/>
      <c r="R34" s="87"/>
      <c r="S34" s="87"/>
      <c r="U34" s="87"/>
      <c r="V34" s="87"/>
      <c r="Y34" s="87"/>
      <c r="Z34" s="87"/>
    </row>
    <row r="35" spans="3:26" ht="32.25" customHeight="1" x14ac:dyDescent="0.25">
      <c r="C35" s="87"/>
      <c r="D35" s="94"/>
      <c r="E35" s="94"/>
      <c r="F35" s="87"/>
      <c r="H35" s="87"/>
      <c r="I35" s="87"/>
      <c r="J35" s="87"/>
      <c r="K35" s="87"/>
      <c r="L35" s="87"/>
      <c r="M35" s="87"/>
      <c r="N35" s="87"/>
      <c r="O35" s="87"/>
      <c r="P35" s="87"/>
      <c r="Q35" s="87"/>
      <c r="R35" s="87"/>
      <c r="S35" s="87"/>
      <c r="U35" s="87"/>
      <c r="V35" s="87"/>
      <c r="Y35" s="87"/>
      <c r="Z35" s="87"/>
    </row>
    <row r="36" spans="3:26" ht="32.25" customHeight="1" x14ac:dyDescent="0.25">
      <c r="C36" s="87"/>
      <c r="D36" s="94"/>
      <c r="E36" s="94"/>
      <c r="F36" s="87"/>
      <c r="H36" s="87"/>
      <c r="I36" s="87"/>
      <c r="J36" s="87"/>
      <c r="K36" s="87"/>
      <c r="L36" s="87"/>
      <c r="M36" s="87"/>
      <c r="N36" s="87"/>
      <c r="O36" s="87"/>
      <c r="P36" s="87"/>
      <c r="Q36" s="87"/>
      <c r="R36" s="87"/>
      <c r="S36" s="87"/>
      <c r="U36" s="87"/>
      <c r="V36" s="87"/>
      <c r="Y36" s="87"/>
      <c r="Z36" s="87"/>
    </row>
    <row r="37" spans="3:26" ht="32.25" customHeight="1" x14ac:dyDescent="0.25">
      <c r="C37" s="87"/>
      <c r="D37" s="94"/>
      <c r="E37" s="94"/>
      <c r="F37" s="87"/>
      <c r="H37" s="87"/>
      <c r="I37" s="87"/>
      <c r="J37" s="87"/>
      <c r="K37" s="87"/>
      <c r="L37" s="87"/>
      <c r="M37" s="87"/>
      <c r="N37" s="87"/>
      <c r="O37" s="87"/>
      <c r="P37" s="87"/>
      <c r="Q37" s="87"/>
      <c r="R37" s="87"/>
      <c r="S37" s="87"/>
      <c r="U37" s="87"/>
      <c r="V37" s="87"/>
      <c r="Y37" s="87"/>
      <c r="Z37" s="87"/>
    </row>
    <row r="38" spans="3:26" ht="32.25" customHeight="1" x14ac:dyDescent="0.25">
      <c r="C38" s="87"/>
      <c r="D38" s="94"/>
      <c r="E38" s="94"/>
      <c r="F38" s="87"/>
      <c r="H38" s="87"/>
      <c r="I38" s="87"/>
      <c r="J38" s="87"/>
      <c r="K38" s="87"/>
      <c r="L38" s="87"/>
      <c r="M38" s="87"/>
      <c r="N38" s="87"/>
      <c r="O38" s="87"/>
      <c r="P38" s="87"/>
      <c r="Q38" s="87"/>
      <c r="R38" s="87"/>
      <c r="S38" s="87"/>
      <c r="U38" s="87"/>
      <c r="V38" s="87"/>
      <c r="Y38" s="87"/>
      <c r="Z38" s="87"/>
    </row>
    <row r="39" spans="3:26" ht="32.25" customHeight="1" x14ac:dyDescent="0.25">
      <c r="C39" s="87"/>
      <c r="D39" s="94"/>
      <c r="E39" s="94"/>
      <c r="F39" s="87"/>
      <c r="H39" s="87"/>
      <c r="I39" s="87"/>
      <c r="J39" s="87"/>
      <c r="K39" s="87"/>
      <c r="L39" s="87"/>
      <c r="M39" s="87"/>
      <c r="N39" s="87"/>
      <c r="O39" s="87"/>
      <c r="P39" s="87"/>
      <c r="Q39" s="87"/>
      <c r="R39" s="87"/>
      <c r="S39" s="87"/>
      <c r="U39" s="87"/>
      <c r="V39" s="87"/>
      <c r="Y39" s="87"/>
      <c r="Z39" s="87"/>
    </row>
    <row r="40" spans="3:26" ht="32.25" customHeight="1" x14ac:dyDescent="0.25">
      <c r="C40" s="87"/>
      <c r="D40" s="94"/>
      <c r="E40" s="94"/>
      <c r="F40" s="87"/>
      <c r="H40" s="87"/>
      <c r="I40" s="87"/>
      <c r="J40" s="87"/>
      <c r="K40" s="87"/>
      <c r="L40" s="87"/>
      <c r="M40" s="87"/>
      <c r="N40" s="87"/>
      <c r="O40" s="87"/>
      <c r="P40" s="87"/>
      <c r="Q40" s="87"/>
      <c r="R40" s="87"/>
      <c r="S40" s="87"/>
      <c r="U40" s="87"/>
      <c r="V40" s="87"/>
      <c r="Y40" s="87"/>
      <c r="Z40" s="87"/>
    </row>
    <row r="41" spans="3:26" ht="32.25" customHeight="1" x14ac:dyDescent="0.25">
      <c r="C41" s="87"/>
      <c r="D41" s="94"/>
      <c r="E41" s="94"/>
      <c r="F41" s="87"/>
      <c r="H41" s="87"/>
      <c r="I41" s="87"/>
      <c r="J41" s="87"/>
      <c r="K41" s="87"/>
      <c r="L41" s="87"/>
      <c r="M41" s="87"/>
      <c r="N41" s="87"/>
      <c r="O41" s="87"/>
      <c r="P41" s="87"/>
      <c r="Q41" s="87"/>
      <c r="R41" s="87"/>
      <c r="S41" s="87"/>
      <c r="U41" s="87"/>
      <c r="V41" s="87"/>
      <c r="Y41" s="87"/>
      <c r="Z41" s="87"/>
    </row>
    <row r="42" spans="3:26" ht="32.25" customHeight="1" x14ac:dyDescent="0.25">
      <c r="C42" s="87"/>
      <c r="D42" s="94"/>
      <c r="E42" s="94"/>
      <c r="F42" s="87"/>
      <c r="H42" s="87"/>
      <c r="I42" s="87"/>
      <c r="J42" s="87"/>
      <c r="K42" s="87"/>
      <c r="L42" s="87"/>
      <c r="M42" s="87"/>
      <c r="N42" s="87"/>
      <c r="O42" s="87"/>
      <c r="P42" s="87"/>
      <c r="Q42" s="87"/>
      <c r="R42" s="87"/>
      <c r="S42" s="87"/>
      <c r="U42" s="87"/>
      <c r="V42" s="87"/>
      <c r="Y42" s="87"/>
      <c r="Z42" s="87"/>
    </row>
    <row r="43" spans="3:26" ht="32.25" customHeight="1" x14ac:dyDescent="0.25">
      <c r="C43" s="87"/>
      <c r="D43" s="94"/>
      <c r="E43" s="94"/>
      <c r="F43" s="87"/>
      <c r="H43" s="87"/>
      <c r="I43" s="87"/>
      <c r="J43" s="87"/>
      <c r="K43" s="87"/>
      <c r="L43" s="87"/>
      <c r="M43" s="87"/>
      <c r="N43" s="87"/>
      <c r="O43" s="87"/>
      <c r="P43" s="87"/>
      <c r="Q43" s="87"/>
      <c r="R43" s="87"/>
      <c r="S43" s="87"/>
      <c r="U43" s="87"/>
      <c r="V43" s="87"/>
      <c r="Y43" s="87"/>
      <c r="Z43" s="87"/>
    </row>
  </sheetData>
  <sortState ref="A3:Z19">
    <sortCondition ref="D3:D19"/>
  </sortState>
  <dataValidations count="2">
    <dataValidation type="date" allowBlank="1" showInputMessage="1" showErrorMessage="1" error="Fecha inválida. El formato es dd-mm-aaaa" sqref="D3:D43 E17:E43 E3:E14">
      <formula1>31778</formula1>
      <formula2>47484</formula2>
    </dataValidation>
    <dataValidation type="date" allowBlank="1" showInputMessage="1" showErrorMessage="1" error="Fecha inválida. El formato es dd-mm-aaaa" sqref="E15:E16">
      <formula1>31778</formula1>
      <formula2>72686</formula2>
    </dataValidation>
  </dataValidations>
  <pageMargins left="0.7" right="0.7" top="0.75" bottom="0.75" header="0.3" footer="0.3"/>
  <pageSetup orientation="landscape" r:id="rId1"/>
  <extLst>
    <ext xmlns:x14="http://schemas.microsoft.com/office/spreadsheetml/2009/9/main" uri="{CCE6A557-97BC-4b89-ADB6-D9C93CAAB3DF}">
      <x14:dataValidations xmlns:xm="http://schemas.microsoft.com/office/excel/2006/main" count="7">
        <x14:dataValidation type="list" allowBlank="1" showInputMessage="1" showErrorMessage="1">
          <x14:formula1>
            <xm:f>'Tipo de Actividad'!$A$1:$A$23</xm:f>
          </x14:formula1>
          <xm:sqref>C3:C43</xm:sqref>
        </x14:dataValidation>
        <x14:dataValidation type="list" allowBlank="1" showInputMessage="1" showErrorMessage="1">
          <x14:formula1>
            <xm:f>'Renovacion por meses'!$A$1:$A$28</xm:f>
          </x14:formula1>
          <xm:sqref>F3:F43</xm:sqref>
        </x14:dataValidation>
        <x14:dataValidation type="list" allowBlank="1" showInputMessage="1" showErrorMessage="1">
          <x14:formula1>
            <xm:f>'Inst-Dpto FCEFN'!$A$1:$A$22</xm:f>
          </x14:formula1>
          <xm:sqref>N3:P43</xm:sqref>
        </x14:dataValidation>
        <x14:dataValidation type="list" allowBlank="1" showInputMessage="1" showErrorMessage="1">
          <x14:formula1>
            <xm:f>'Coordinador FCEFN'!$A$1:$A$54</xm:f>
          </x14:formula1>
          <xm:sqref>Q3:S43 I3:J43</xm:sqref>
        </x14:dataValidation>
        <x14:dataValidation type="list" allowBlank="1" showInputMessage="1" showErrorMessage="1">
          <x14:formula1>
            <xm:f>Moneda!$A$1:$A$23</xm:f>
          </x14:formula1>
          <xm:sqref>U3:U43 Y3:Y43</xm:sqref>
        </x14:dataValidation>
        <x14:dataValidation type="list" allowBlank="1" showInputMessage="1" showErrorMessage="1">
          <x14:formula1>
            <xm:f>'Coordinador de la Organización'!$A$1:$A$55</xm:f>
          </x14:formula1>
          <xm:sqref>K3:M43</xm:sqref>
        </x14:dataValidation>
        <x14:dataValidation type="list" allowBlank="1" showInputMessage="1" showErrorMessage="1">
          <x14:formula1>
            <xm:f>'Empresa-Institucion'!$A$1:$A$53</xm:f>
          </x14:formula1>
          <xm:sqref>H3:H43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A8"/>
  <sheetViews>
    <sheetView workbookViewId="0">
      <selection activeCell="A9" sqref="A9"/>
    </sheetView>
  </sheetViews>
  <sheetFormatPr baseColWidth="10" defaultRowHeight="15" x14ac:dyDescent="0.25"/>
  <cols>
    <col min="1" max="1" width="59.5703125" customWidth="1"/>
  </cols>
  <sheetData>
    <row r="1" spans="1:1" x14ac:dyDescent="0.25">
      <c r="A1" s="47" t="s">
        <v>149</v>
      </c>
    </row>
    <row r="2" spans="1:1" x14ac:dyDescent="0.25">
      <c r="A2" s="15" t="s">
        <v>49</v>
      </c>
    </row>
    <row r="3" spans="1:1" x14ac:dyDescent="0.25">
      <c r="A3" s="15" t="s">
        <v>161</v>
      </c>
    </row>
    <row r="4" spans="1:1" x14ac:dyDescent="0.25">
      <c r="A4" s="15" t="s">
        <v>168</v>
      </c>
    </row>
    <row r="5" spans="1:1" x14ac:dyDescent="0.25">
      <c r="A5" s="15" t="s">
        <v>185</v>
      </c>
    </row>
    <row r="6" spans="1:1" ht="30" x14ac:dyDescent="0.25">
      <c r="A6" s="47" t="s">
        <v>158</v>
      </c>
    </row>
    <row r="7" spans="1:1" x14ac:dyDescent="0.25">
      <c r="A7" s="44" t="s">
        <v>134</v>
      </c>
    </row>
    <row r="8" spans="1:1" x14ac:dyDescent="0.25">
      <c r="A8" s="42" t="s">
        <v>327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29"/>
  <sheetViews>
    <sheetView topLeftCell="A21" workbookViewId="0">
      <selection activeCell="A30" sqref="A30"/>
    </sheetView>
  </sheetViews>
  <sheetFormatPr baseColWidth="10" defaultRowHeight="15" x14ac:dyDescent="0.25"/>
  <cols>
    <col min="1" max="1" width="72.42578125" style="104" customWidth="1"/>
  </cols>
  <sheetData>
    <row r="1" spans="1:1" x14ac:dyDescent="0.25">
      <c r="A1" s="63" t="s">
        <v>291</v>
      </c>
    </row>
    <row r="2" spans="1:1" x14ac:dyDescent="0.25">
      <c r="A2" s="7" t="s">
        <v>122</v>
      </c>
    </row>
    <row r="3" spans="1:1" x14ac:dyDescent="0.25">
      <c r="A3" s="102" t="s">
        <v>261</v>
      </c>
    </row>
    <row r="4" spans="1:1" x14ac:dyDescent="0.25">
      <c r="A4" s="7" t="s">
        <v>62</v>
      </c>
    </row>
    <row r="5" spans="1:1" x14ac:dyDescent="0.25">
      <c r="A5" s="102" t="s">
        <v>159</v>
      </c>
    </row>
    <row r="6" spans="1:1" x14ac:dyDescent="0.25">
      <c r="A6" s="105" t="s">
        <v>303</v>
      </c>
    </row>
    <row r="7" spans="1:1" ht="30" x14ac:dyDescent="0.25">
      <c r="A7" s="102" t="s">
        <v>169</v>
      </c>
    </row>
    <row r="8" spans="1:1" x14ac:dyDescent="0.25">
      <c r="A8" s="102" t="s">
        <v>223</v>
      </c>
    </row>
    <row r="9" spans="1:1" x14ac:dyDescent="0.25">
      <c r="A9" s="105" t="s">
        <v>307</v>
      </c>
    </row>
    <row r="10" spans="1:1" x14ac:dyDescent="0.25">
      <c r="A10" s="90" t="s">
        <v>135</v>
      </c>
    </row>
    <row r="11" spans="1:1" x14ac:dyDescent="0.25">
      <c r="A11" s="7" t="s">
        <v>86</v>
      </c>
    </row>
    <row r="12" spans="1:1" x14ac:dyDescent="0.25">
      <c r="A12" s="7" t="s">
        <v>95</v>
      </c>
    </row>
    <row r="13" spans="1:1" x14ac:dyDescent="0.25">
      <c r="A13" s="102" t="s">
        <v>140</v>
      </c>
    </row>
    <row r="14" spans="1:1" x14ac:dyDescent="0.25">
      <c r="A14" s="102" t="s">
        <v>205</v>
      </c>
    </row>
    <row r="15" spans="1:1" x14ac:dyDescent="0.25">
      <c r="A15" s="102" t="s">
        <v>196</v>
      </c>
    </row>
    <row r="16" spans="1:1" x14ac:dyDescent="0.25">
      <c r="A16" s="102" t="s">
        <v>186</v>
      </c>
    </row>
    <row r="17" spans="1:1" x14ac:dyDescent="0.25">
      <c r="A17" s="7" t="s">
        <v>306</v>
      </c>
    </row>
    <row r="18" spans="1:1" ht="30" x14ac:dyDescent="0.25">
      <c r="A18" s="7" t="s">
        <v>260</v>
      </c>
    </row>
    <row r="19" spans="1:1" ht="30" x14ac:dyDescent="0.25">
      <c r="A19" s="89" t="s">
        <v>29</v>
      </c>
    </row>
    <row r="20" spans="1:1" x14ac:dyDescent="0.25">
      <c r="A20" s="88" t="s">
        <v>308</v>
      </c>
    </row>
    <row r="21" spans="1:1" ht="30" x14ac:dyDescent="0.25">
      <c r="A21" s="88" t="s">
        <v>27</v>
      </c>
    </row>
    <row r="22" spans="1:1" x14ac:dyDescent="0.25">
      <c r="A22" s="107" t="s">
        <v>259</v>
      </c>
    </row>
    <row r="23" spans="1:1" x14ac:dyDescent="0.25">
      <c r="A23" s="103" t="s">
        <v>295</v>
      </c>
    </row>
    <row r="24" spans="1:1" x14ac:dyDescent="0.25">
      <c r="A24" s="106" t="s">
        <v>241</v>
      </c>
    </row>
    <row r="25" spans="1:1" x14ac:dyDescent="0.25">
      <c r="A25" s="104" t="s">
        <v>312</v>
      </c>
    </row>
    <row r="26" spans="1:1" x14ac:dyDescent="0.25">
      <c r="A26" t="s">
        <v>313</v>
      </c>
    </row>
    <row r="27" spans="1:1" x14ac:dyDescent="0.25">
      <c r="A27" s="104" t="s">
        <v>343</v>
      </c>
    </row>
    <row r="28" spans="1:1" x14ac:dyDescent="0.25">
      <c r="A28" s="104" t="s">
        <v>347</v>
      </c>
    </row>
    <row r="29" spans="1:1" x14ac:dyDescent="0.25">
      <c r="A29" s="104" t="s">
        <v>362</v>
      </c>
    </row>
  </sheetData>
  <sortState ref="A2:A25">
    <sortCondition ref="A17"/>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A9"/>
  <sheetViews>
    <sheetView topLeftCell="A2" workbookViewId="0">
      <selection activeCell="A10" sqref="A10"/>
    </sheetView>
  </sheetViews>
  <sheetFormatPr baseColWidth="10" defaultRowHeight="15" x14ac:dyDescent="0.25"/>
  <cols>
    <col min="1" max="1" width="42.5703125" customWidth="1"/>
  </cols>
  <sheetData>
    <row r="1" spans="1:1" x14ac:dyDescent="0.25">
      <c r="A1" t="s">
        <v>265</v>
      </c>
    </row>
    <row r="2" spans="1:1" ht="18" x14ac:dyDescent="0.25">
      <c r="A2" s="100" t="s">
        <v>293</v>
      </c>
    </row>
    <row r="3" spans="1:1" x14ac:dyDescent="0.25">
      <c r="A3" t="s">
        <v>294</v>
      </c>
    </row>
    <row r="4" spans="1:1" x14ac:dyDescent="0.25">
      <c r="A4" t="s">
        <v>323</v>
      </c>
    </row>
    <row r="5" spans="1:1" x14ac:dyDescent="0.25">
      <c r="A5" t="s">
        <v>324</v>
      </c>
    </row>
    <row r="6" spans="1:1" x14ac:dyDescent="0.25">
      <c r="A6" t="s">
        <v>333</v>
      </c>
    </row>
    <row r="7" spans="1:1" x14ac:dyDescent="0.25">
      <c r="A7" t="s">
        <v>354</v>
      </c>
    </row>
    <row r="8" spans="1:1" x14ac:dyDescent="0.25">
      <c r="A8" t="s">
        <v>356</v>
      </c>
    </row>
    <row r="9" spans="1:1" x14ac:dyDescent="0.25">
      <c r="A9" t="s">
        <v>359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A15"/>
  <sheetViews>
    <sheetView workbookViewId="0">
      <selection activeCell="A14" sqref="A14"/>
    </sheetView>
  </sheetViews>
  <sheetFormatPr baseColWidth="10" defaultRowHeight="15" x14ac:dyDescent="0.25"/>
  <cols>
    <col min="1" max="1" width="66.140625" customWidth="1"/>
  </cols>
  <sheetData>
    <row r="1" spans="1:1" x14ac:dyDescent="0.25">
      <c r="A1" t="s">
        <v>265</v>
      </c>
    </row>
    <row r="2" spans="1:1" x14ac:dyDescent="0.25">
      <c r="A2" s="16" t="s">
        <v>189</v>
      </c>
    </row>
    <row r="3" spans="1:1" x14ac:dyDescent="0.25">
      <c r="A3" s="16" t="s">
        <v>299</v>
      </c>
    </row>
    <row r="4" spans="1:1" x14ac:dyDescent="0.25">
      <c r="A4" s="16" t="s">
        <v>298</v>
      </c>
    </row>
    <row r="5" spans="1:1" x14ac:dyDescent="0.25">
      <c r="A5" s="92" t="s">
        <v>26</v>
      </c>
    </row>
    <row r="6" spans="1:1" x14ac:dyDescent="0.25">
      <c r="A6" s="16" t="s">
        <v>226</v>
      </c>
    </row>
    <row r="7" spans="1:1" ht="19.5" x14ac:dyDescent="0.3">
      <c r="A7" s="108" t="s">
        <v>304</v>
      </c>
    </row>
    <row r="8" spans="1:1" x14ac:dyDescent="0.25">
      <c r="A8" s="16" t="s">
        <v>316</v>
      </c>
    </row>
    <row r="9" spans="1:1" ht="30" x14ac:dyDescent="0.25">
      <c r="A9" s="10" t="s">
        <v>297</v>
      </c>
    </row>
    <row r="10" spans="1:1" x14ac:dyDescent="0.25">
      <c r="A10" s="109" t="s">
        <v>300</v>
      </c>
    </row>
    <row r="11" spans="1:1" x14ac:dyDescent="0.25">
      <c r="A11" s="16" t="s">
        <v>296</v>
      </c>
    </row>
    <row r="12" spans="1:1" x14ac:dyDescent="0.25">
      <c r="A12" s="90" t="s">
        <v>325</v>
      </c>
    </row>
    <row r="13" spans="1:1" x14ac:dyDescent="0.25">
      <c r="A13" s="91" t="s">
        <v>344</v>
      </c>
    </row>
    <row r="14" spans="1:1" x14ac:dyDescent="0.25">
      <c r="A14" s="91"/>
    </row>
    <row r="15" spans="1:1" x14ac:dyDescent="0.25">
      <c r="A15" s="91"/>
    </row>
  </sheetData>
  <sortState ref="A2:A11">
    <sortCondition ref="A2"/>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A14"/>
  <sheetViews>
    <sheetView workbookViewId="0">
      <selection activeCell="A14" sqref="A14"/>
    </sheetView>
  </sheetViews>
  <sheetFormatPr baseColWidth="10" defaultRowHeight="15" x14ac:dyDescent="0.25"/>
  <cols>
    <col min="1" max="1" width="49.28515625" customWidth="1"/>
  </cols>
  <sheetData>
    <row r="1" spans="1:1" x14ac:dyDescent="0.25">
      <c r="A1" t="s">
        <v>265</v>
      </c>
    </row>
    <row r="2" spans="1:1" x14ac:dyDescent="0.25">
      <c r="A2" s="10" t="s">
        <v>267</v>
      </c>
    </row>
    <row r="3" spans="1:1" x14ac:dyDescent="0.25">
      <c r="A3" s="7" t="s">
        <v>268</v>
      </c>
    </row>
    <row r="4" spans="1:1" x14ac:dyDescent="0.25">
      <c r="A4" s="7" t="s">
        <v>269</v>
      </c>
    </row>
    <row r="5" spans="1:1" x14ac:dyDescent="0.25">
      <c r="A5" s="4" t="s">
        <v>270</v>
      </c>
    </row>
    <row r="6" spans="1:1" x14ac:dyDescent="0.25">
      <c r="A6" s="22" t="s">
        <v>271</v>
      </c>
    </row>
    <row r="7" spans="1:1" x14ac:dyDescent="0.25">
      <c r="A7" s="20" t="s">
        <v>272</v>
      </c>
    </row>
    <row r="8" spans="1:1" x14ac:dyDescent="0.25">
      <c r="A8" s="20" t="s">
        <v>273</v>
      </c>
    </row>
    <row r="9" spans="1:1" x14ac:dyDescent="0.25">
      <c r="A9" s="20" t="s">
        <v>274</v>
      </c>
    </row>
    <row r="10" spans="1:1" ht="18" x14ac:dyDescent="0.25">
      <c r="A10" s="100" t="s">
        <v>292</v>
      </c>
    </row>
    <row r="11" spans="1:1" ht="19.5" x14ac:dyDescent="0.3">
      <c r="A11" s="101" t="s">
        <v>305</v>
      </c>
    </row>
    <row r="12" spans="1:1" x14ac:dyDescent="0.25">
      <c r="A12" s="3" t="s">
        <v>317</v>
      </c>
    </row>
    <row r="13" spans="1:1" x14ac:dyDescent="0.25">
      <c r="A13" s="3" t="s">
        <v>334</v>
      </c>
    </row>
    <row r="14" spans="1:1" x14ac:dyDescent="0.25">
      <c r="A14" s="3"/>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28"/>
  <sheetViews>
    <sheetView topLeftCell="A2" workbookViewId="0">
      <selection activeCell="D2" sqref="D2"/>
    </sheetView>
  </sheetViews>
  <sheetFormatPr baseColWidth="10" defaultRowHeight="15" x14ac:dyDescent="0.25"/>
  <sheetData>
    <row r="1" spans="1:1" x14ac:dyDescent="0.25">
      <c r="A1" t="s">
        <v>277</v>
      </c>
    </row>
    <row r="2" spans="1:1" x14ac:dyDescent="0.25">
      <c r="A2">
        <v>12</v>
      </c>
    </row>
    <row r="3" spans="1:1" x14ac:dyDescent="0.25">
      <c r="A3">
        <v>24</v>
      </c>
    </row>
    <row r="4" spans="1:1" x14ac:dyDescent="0.25">
      <c r="A4">
        <v>36</v>
      </c>
    </row>
    <row r="5" spans="1:1" x14ac:dyDescent="0.25">
      <c r="A5">
        <v>48</v>
      </c>
    </row>
    <row r="6" spans="1:1" x14ac:dyDescent="0.25">
      <c r="A6">
        <f>+A5+12</f>
        <v>60</v>
      </c>
    </row>
    <row r="7" spans="1:1" x14ac:dyDescent="0.25">
      <c r="A7">
        <f t="shared" ref="A7:A28" si="0">+A6+12</f>
        <v>72</v>
      </c>
    </row>
    <row r="8" spans="1:1" x14ac:dyDescent="0.25">
      <c r="A8">
        <f t="shared" si="0"/>
        <v>84</v>
      </c>
    </row>
    <row r="9" spans="1:1" x14ac:dyDescent="0.25">
      <c r="A9">
        <f t="shared" si="0"/>
        <v>96</v>
      </c>
    </row>
    <row r="10" spans="1:1" x14ac:dyDescent="0.25">
      <c r="A10">
        <f t="shared" si="0"/>
        <v>108</v>
      </c>
    </row>
    <row r="11" spans="1:1" x14ac:dyDescent="0.25">
      <c r="A11">
        <f t="shared" si="0"/>
        <v>120</v>
      </c>
    </row>
    <row r="12" spans="1:1" x14ac:dyDescent="0.25">
      <c r="A12">
        <f t="shared" si="0"/>
        <v>132</v>
      </c>
    </row>
    <row r="13" spans="1:1" x14ac:dyDescent="0.25">
      <c r="A13">
        <f t="shared" si="0"/>
        <v>144</v>
      </c>
    </row>
    <row r="14" spans="1:1" x14ac:dyDescent="0.25">
      <c r="A14">
        <f t="shared" si="0"/>
        <v>156</v>
      </c>
    </row>
    <row r="15" spans="1:1" x14ac:dyDescent="0.25">
      <c r="A15">
        <f t="shared" si="0"/>
        <v>168</v>
      </c>
    </row>
    <row r="16" spans="1:1" x14ac:dyDescent="0.25">
      <c r="A16">
        <f t="shared" si="0"/>
        <v>180</v>
      </c>
    </row>
    <row r="17" spans="1:1" x14ac:dyDescent="0.25">
      <c r="A17">
        <f t="shared" si="0"/>
        <v>192</v>
      </c>
    </row>
    <row r="18" spans="1:1" x14ac:dyDescent="0.25">
      <c r="A18">
        <f t="shared" si="0"/>
        <v>204</v>
      </c>
    </row>
    <row r="19" spans="1:1" x14ac:dyDescent="0.25">
      <c r="A19">
        <f t="shared" si="0"/>
        <v>216</v>
      </c>
    </row>
    <row r="20" spans="1:1" x14ac:dyDescent="0.25">
      <c r="A20">
        <f t="shared" si="0"/>
        <v>228</v>
      </c>
    </row>
    <row r="21" spans="1:1" x14ac:dyDescent="0.25">
      <c r="A21">
        <f t="shared" si="0"/>
        <v>240</v>
      </c>
    </row>
    <row r="22" spans="1:1" x14ac:dyDescent="0.25">
      <c r="A22">
        <f t="shared" si="0"/>
        <v>252</v>
      </c>
    </row>
    <row r="23" spans="1:1" x14ac:dyDescent="0.25">
      <c r="A23">
        <f t="shared" si="0"/>
        <v>264</v>
      </c>
    </row>
    <row r="24" spans="1:1" x14ac:dyDescent="0.25">
      <c r="A24">
        <f t="shared" si="0"/>
        <v>276</v>
      </c>
    </row>
    <row r="25" spans="1:1" x14ac:dyDescent="0.25">
      <c r="A25">
        <f t="shared" si="0"/>
        <v>288</v>
      </c>
    </row>
    <row r="26" spans="1:1" x14ac:dyDescent="0.25">
      <c r="A26">
        <f t="shared" si="0"/>
        <v>300</v>
      </c>
    </row>
    <row r="27" spans="1:1" x14ac:dyDescent="0.25">
      <c r="A27">
        <f t="shared" si="0"/>
        <v>312</v>
      </c>
    </row>
    <row r="28" spans="1:1" x14ac:dyDescent="0.25">
      <c r="A28">
        <f t="shared" si="0"/>
        <v>324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A5"/>
  <sheetViews>
    <sheetView workbookViewId="0">
      <selection activeCell="C1" sqref="C1"/>
    </sheetView>
  </sheetViews>
  <sheetFormatPr baseColWidth="10" defaultRowHeight="15" x14ac:dyDescent="0.25"/>
  <sheetData>
    <row r="1" spans="1:1" x14ac:dyDescent="0.25">
      <c r="A1" t="s">
        <v>282</v>
      </c>
    </row>
    <row r="2" spans="1:1" x14ac:dyDescent="0.25">
      <c r="A2" t="s">
        <v>283</v>
      </c>
    </row>
    <row r="3" spans="1:1" x14ac:dyDescent="0.25">
      <c r="A3" t="s">
        <v>284</v>
      </c>
    </row>
    <row r="4" spans="1:1" x14ac:dyDescent="0.25">
      <c r="A4" t="s">
        <v>285</v>
      </c>
    </row>
    <row r="5" spans="1:1" x14ac:dyDescent="0.25">
      <c r="A5" t="s">
        <v>286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AA25"/>
  <sheetViews>
    <sheetView zoomScale="90" zoomScaleNormal="90" workbookViewId="0">
      <pane ySplit="1" topLeftCell="A2" activePane="bottomLeft" state="frozen"/>
      <selection pane="bottomLeft" activeCell="Y7" sqref="Y7"/>
    </sheetView>
  </sheetViews>
  <sheetFormatPr baseColWidth="10" defaultColWidth="10.7109375" defaultRowHeight="15" x14ac:dyDescent="0.25"/>
  <cols>
    <col min="1" max="1" width="31" style="42" customWidth="1"/>
    <col min="2" max="2" width="28.5703125" style="41" customWidth="1"/>
    <col min="3" max="3" width="38" style="41" customWidth="1"/>
    <col min="4" max="4" width="28.140625" style="41" customWidth="1"/>
    <col min="5" max="5" width="17.5703125" style="41" customWidth="1"/>
    <col min="6" max="6" width="8.28515625" style="41" customWidth="1"/>
    <col min="7" max="7" width="15.28515625" style="41" customWidth="1"/>
    <col min="8" max="8" width="11.5703125" style="42" customWidth="1"/>
    <col min="9" max="9" width="13" style="41" customWidth="1"/>
    <col min="10" max="10" width="42.7109375" style="3" customWidth="1"/>
    <col min="11" max="11" width="13.140625" style="3" customWidth="1"/>
    <col min="12" max="12" width="42.7109375" style="3" customWidth="1"/>
    <col min="13" max="13" width="20.140625" style="3" customWidth="1"/>
    <col min="14" max="20" width="42.7109375" style="3" customWidth="1"/>
    <col min="21" max="21" width="16.85546875" style="3" customWidth="1"/>
    <col min="22" max="22" width="38.42578125" style="3" customWidth="1"/>
    <col min="23" max="23" width="26.28515625" style="3" customWidth="1"/>
    <col min="24" max="24" width="20" style="3" customWidth="1"/>
    <col min="25" max="25" width="28.7109375" style="3" customWidth="1"/>
    <col min="26" max="28" width="11.42578125" style="3" customWidth="1"/>
    <col min="29" max="32" width="10.7109375" style="3"/>
    <col min="33" max="33" width="64.28515625" style="3" customWidth="1"/>
    <col min="34" max="16384" width="10.7109375" style="3"/>
  </cols>
  <sheetData>
    <row r="1" spans="1:27" x14ac:dyDescent="0.25">
      <c r="A1" s="27" t="s">
        <v>0</v>
      </c>
      <c r="B1" s="25" t="s">
        <v>1</v>
      </c>
      <c r="C1" s="25" t="s">
        <v>2</v>
      </c>
      <c r="D1" s="25" t="s">
        <v>3</v>
      </c>
      <c r="E1" s="25" t="s">
        <v>4</v>
      </c>
      <c r="F1" s="25" t="s">
        <v>5</v>
      </c>
      <c r="G1" s="25" t="s">
        <v>6</v>
      </c>
      <c r="H1" s="27" t="s">
        <v>7</v>
      </c>
      <c r="I1" s="25" t="s">
        <v>8</v>
      </c>
      <c r="J1" s="26" t="s">
        <v>9</v>
      </c>
      <c r="K1" s="26" t="s">
        <v>10</v>
      </c>
      <c r="L1" s="26" t="s">
        <v>11</v>
      </c>
      <c r="M1" s="26" t="s">
        <v>12</v>
      </c>
      <c r="N1" s="26" t="s">
        <v>109</v>
      </c>
      <c r="O1" s="26" t="s">
        <v>110</v>
      </c>
      <c r="P1" s="26" t="s">
        <v>13</v>
      </c>
      <c r="Q1" s="26" t="s">
        <v>174</v>
      </c>
      <c r="R1" s="26" t="s">
        <v>14</v>
      </c>
      <c r="S1" s="26" t="s">
        <v>15</v>
      </c>
      <c r="T1" s="26" t="s">
        <v>16</v>
      </c>
      <c r="U1" s="26" t="s">
        <v>17</v>
      </c>
      <c r="V1" s="1" t="s">
        <v>18</v>
      </c>
      <c r="W1" s="1" t="s">
        <v>19</v>
      </c>
      <c r="X1" s="1" t="s">
        <v>20</v>
      </c>
      <c r="Y1" s="1" t="s">
        <v>21</v>
      </c>
      <c r="Z1" s="1" t="s">
        <v>22</v>
      </c>
      <c r="AA1" s="28" t="s">
        <v>32</v>
      </c>
    </row>
    <row r="2" spans="1:27" s="54" customFormat="1" ht="150" x14ac:dyDescent="0.25">
      <c r="A2" s="19" t="s">
        <v>139</v>
      </c>
      <c r="B2" s="49" t="s">
        <v>231</v>
      </c>
      <c r="C2" s="50" t="s">
        <v>232</v>
      </c>
      <c r="D2" s="50" t="s">
        <v>233</v>
      </c>
      <c r="E2" s="49" t="s">
        <v>36</v>
      </c>
      <c r="F2" s="49"/>
      <c r="G2" s="49"/>
      <c r="H2" s="51">
        <v>42734</v>
      </c>
      <c r="I2" s="49" t="s">
        <v>234</v>
      </c>
      <c r="J2" s="52" t="s">
        <v>236</v>
      </c>
      <c r="K2" s="53"/>
      <c r="L2" s="52" t="s">
        <v>235</v>
      </c>
      <c r="M2" s="53"/>
      <c r="N2" s="53" t="s">
        <v>238</v>
      </c>
      <c r="O2" s="53"/>
      <c r="P2" s="52" t="s">
        <v>237</v>
      </c>
      <c r="Q2" s="53"/>
      <c r="R2" s="53"/>
      <c r="S2" s="53"/>
      <c r="T2" s="53"/>
      <c r="U2" s="33" t="s">
        <v>41</v>
      </c>
      <c r="V2" s="53" t="s">
        <v>28</v>
      </c>
      <c r="W2" s="4"/>
      <c r="X2" s="4"/>
      <c r="Y2" s="4"/>
      <c r="Z2" s="4"/>
      <c r="AA2" s="23" t="s">
        <v>239</v>
      </c>
    </row>
    <row r="3" spans="1:27" s="54" customFormat="1" ht="22.5" customHeight="1" x14ac:dyDescent="0.25">
      <c r="A3" s="42"/>
      <c r="B3" s="2" t="s">
        <v>27</v>
      </c>
      <c r="C3" s="50" t="s">
        <v>213</v>
      </c>
      <c r="D3" s="50" t="s">
        <v>219</v>
      </c>
      <c r="E3" s="2" t="s">
        <v>45</v>
      </c>
      <c r="F3" s="2"/>
      <c r="G3" s="2"/>
      <c r="H3" s="55">
        <v>44643</v>
      </c>
      <c r="I3" s="56" t="s">
        <v>89</v>
      </c>
      <c r="J3" s="57" t="s">
        <v>220</v>
      </c>
      <c r="K3" s="57"/>
      <c r="L3" s="57"/>
      <c r="M3" s="57"/>
      <c r="N3" s="57"/>
      <c r="O3" s="58">
        <v>333000</v>
      </c>
      <c r="P3" s="57"/>
      <c r="Q3" s="57"/>
      <c r="R3" s="57"/>
      <c r="S3" s="57"/>
      <c r="T3" s="57"/>
      <c r="U3" s="57" t="s">
        <v>221</v>
      </c>
      <c r="V3" s="57" t="s">
        <v>222</v>
      </c>
      <c r="W3" s="57"/>
      <c r="X3" s="57"/>
      <c r="Y3" s="57"/>
      <c r="Z3" s="59"/>
      <c r="AA3" s="59"/>
    </row>
    <row r="4" spans="1:27" s="54" customFormat="1" ht="18" customHeight="1" x14ac:dyDescent="0.25">
      <c r="A4" s="42" t="s">
        <v>49</v>
      </c>
      <c r="B4" s="2" t="s">
        <v>27</v>
      </c>
      <c r="C4" s="50" t="s">
        <v>213</v>
      </c>
      <c r="D4" s="50" t="s">
        <v>214</v>
      </c>
      <c r="E4" s="2" t="s">
        <v>45</v>
      </c>
      <c r="F4" s="2"/>
      <c r="G4" s="2"/>
      <c r="H4" s="55">
        <v>44519</v>
      </c>
      <c r="I4" s="56" t="s">
        <v>89</v>
      </c>
      <c r="J4" s="60" t="s">
        <v>215</v>
      </c>
      <c r="K4" s="57"/>
      <c r="L4" s="60" t="s">
        <v>216</v>
      </c>
      <c r="M4" s="57"/>
      <c r="N4" s="57"/>
      <c r="O4" s="58">
        <v>895000</v>
      </c>
      <c r="P4" s="60" t="s">
        <v>217</v>
      </c>
      <c r="Q4" s="57"/>
      <c r="R4" s="57"/>
      <c r="S4" s="57"/>
      <c r="T4" s="57"/>
      <c r="U4" s="57" t="s">
        <v>126</v>
      </c>
      <c r="V4" s="57" t="s">
        <v>218</v>
      </c>
      <c r="W4" s="57"/>
      <c r="X4" s="57"/>
      <c r="Y4" s="57"/>
      <c r="Z4" s="59"/>
      <c r="AA4" s="59"/>
    </row>
    <row r="5" spans="1:27" ht="18" customHeight="1" x14ac:dyDescent="0.25">
      <c r="A5" s="19" t="s">
        <v>49</v>
      </c>
      <c r="B5" s="29" t="s">
        <v>29</v>
      </c>
      <c r="C5" s="50" t="s">
        <v>34</v>
      </c>
      <c r="D5" s="50" t="s">
        <v>35</v>
      </c>
      <c r="E5" s="29" t="s">
        <v>36</v>
      </c>
      <c r="F5" s="29"/>
      <c r="G5" s="29"/>
      <c r="H5" s="31">
        <v>44649</v>
      </c>
      <c r="I5" s="32" t="s">
        <v>37</v>
      </c>
      <c r="J5" s="33" t="s">
        <v>38</v>
      </c>
      <c r="K5" s="33"/>
      <c r="L5" s="33" t="s">
        <v>39</v>
      </c>
      <c r="M5" s="33"/>
      <c r="N5" s="22"/>
      <c r="O5" s="61">
        <v>500000</v>
      </c>
      <c r="P5" s="33" t="s">
        <v>40</v>
      </c>
      <c r="Q5" s="33"/>
      <c r="R5" s="33"/>
      <c r="S5" s="33"/>
      <c r="T5" s="33"/>
      <c r="U5" s="33" t="s">
        <v>41</v>
      </c>
      <c r="V5" s="33" t="s">
        <v>42</v>
      </c>
      <c r="W5" s="33" t="s">
        <v>43</v>
      </c>
      <c r="X5" s="33" t="s">
        <v>23</v>
      </c>
      <c r="Y5" s="33" t="s">
        <v>44</v>
      </c>
      <c r="Z5" s="33" t="s">
        <v>24</v>
      </c>
      <c r="AA5" s="33" t="s">
        <v>32</v>
      </c>
    </row>
    <row r="6" spans="1:27" s="54" customFormat="1" ht="18" customHeight="1" x14ac:dyDescent="0.25">
      <c r="A6" s="42" t="s">
        <v>252</v>
      </c>
      <c r="B6" s="34" t="s">
        <v>114</v>
      </c>
      <c r="C6" s="62" t="s">
        <v>115</v>
      </c>
      <c r="D6" s="63" t="s">
        <v>116</v>
      </c>
      <c r="E6" s="49" t="s">
        <v>46</v>
      </c>
      <c r="F6" s="49"/>
      <c r="G6" s="49"/>
      <c r="H6" s="51">
        <v>43684</v>
      </c>
      <c r="I6" s="49" t="s">
        <v>117</v>
      </c>
      <c r="J6" s="35" t="s">
        <v>118</v>
      </c>
      <c r="K6" s="35"/>
      <c r="L6" s="52"/>
      <c r="M6" s="52"/>
      <c r="N6" s="62" t="s">
        <v>119</v>
      </c>
      <c r="O6" s="64">
        <v>230000</v>
      </c>
      <c r="P6" s="35" t="s">
        <v>120</v>
      </c>
      <c r="Q6" s="35"/>
      <c r="R6" s="53"/>
      <c r="S6" s="53"/>
      <c r="T6" s="53"/>
      <c r="U6" s="53" t="s">
        <v>126</v>
      </c>
      <c r="V6" s="53" t="s">
        <v>33</v>
      </c>
      <c r="W6" s="53" t="s">
        <v>47</v>
      </c>
      <c r="X6" s="53" t="s">
        <v>23</v>
      </c>
      <c r="Y6" s="53" t="s">
        <v>48</v>
      </c>
      <c r="Z6" s="23" t="s">
        <v>32</v>
      </c>
      <c r="AA6" s="23" t="s">
        <v>31</v>
      </c>
    </row>
    <row r="7" spans="1:27" ht="18" customHeight="1" x14ac:dyDescent="0.25">
      <c r="A7" s="66" t="s">
        <v>49</v>
      </c>
      <c r="B7" s="50" t="s">
        <v>50</v>
      </c>
      <c r="C7" s="50" t="s">
        <v>51</v>
      </c>
      <c r="D7" s="50" t="s">
        <v>52</v>
      </c>
      <c r="E7" s="30" t="s">
        <v>53</v>
      </c>
      <c r="F7" s="67"/>
      <c r="G7" s="67"/>
      <c r="H7" s="37">
        <v>44532</v>
      </c>
      <c r="I7" s="38" t="s">
        <v>54</v>
      </c>
      <c r="J7" s="50" t="s">
        <v>55</v>
      </c>
      <c r="K7" s="65"/>
      <c r="L7" s="65"/>
      <c r="M7" s="65"/>
      <c r="N7" s="50" t="s">
        <v>56</v>
      </c>
      <c r="O7" s="22"/>
      <c r="P7" s="50" t="s">
        <v>57</v>
      </c>
      <c r="Q7" s="50"/>
      <c r="R7" s="50"/>
      <c r="S7" s="65"/>
      <c r="T7" s="65"/>
      <c r="U7" s="50" t="s">
        <v>108</v>
      </c>
      <c r="V7" s="50" t="s">
        <v>58</v>
      </c>
      <c r="W7" s="30" t="s">
        <v>59</v>
      </c>
      <c r="X7" s="30" t="s">
        <v>23</v>
      </c>
      <c r="Y7" s="50" t="s">
        <v>60</v>
      </c>
      <c r="Z7" s="50" t="s">
        <v>24</v>
      </c>
      <c r="AA7" s="68" t="s">
        <v>32</v>
      </c>
    </row>
    <row r="8" spans="1:27" ht="33" customHeight="1" x14ac:dyDescent="0.25">
      <c r="A8" s="6" t="s">
        <v>61</v>
      </c>
      <c r="B8" s="7" t="s">
        <v>62</v>
      </c>
      <c r="C8" s="7" t="s">
        <v>63</v>
      </c>
      <c r="D8" s="7" t="s">
        <v>64</v>
      </c>
      <c r="E8" s="7" t="s">
        <v>65</v>
      </c>
      <c r="F8" s="7"/>
      <c r="G8" s="7"/>
      <c r="H8" s="6">
        <v>44314</v>
      </c>
      <c r="I8" s="8" t="s">
        <v>66</v>
      </c>
      <c r="J8" s="7" t="s">
        <v>67</v>
      </c>
      <c r="K8" s="4"/>
      <c r="L8" s="5" t="s">
        <v>68</v>
      </c>
      <c r="M8" s="7"/>
      <c r="N8" s="22"/>
      <c r="O8" s="7" t="s">
        <v>113</v>
      </c>
      <c r="P8" s="7" t="s">
        <v>69</v>
      </c>
      <c r="Q8" s="7"/>
      <c r="R8" s="69" t="s">
        <v>70</v>
      </c>
      <c r="S8" s="7"/>
      <c r="T8" s="7"/>
      <c r="U8" s="7" t="s">
        <v>25</v>
      </c>
      <c r="V8" s="7" t="s">
        <v>71</v>
      </c>
      <c r="W8" s="7" t="s">
        <v>148</v>
      </c>
      <c r="X8" s="7" t="s">
        <v>72</v>
      </c>
      <c r="Y8" s="7" t="s">
        <v>147</v>
      </c>
      <c r="Z8" s="7"/>
      <c r="AA8" s="70" t="s">
        <v>32</v>
      </c>
    </row>
    <row r="9" spans="1:27" ht="31.5" customHeight="1" x14ac:dyDescent="0.25">
      <c r="A9" s="9" t="s">
        <v>73</v>
      </c>
      <c r="B9" s="10" t="s">
        <v>74</v>
      </c>
      <c r="C9" s="10" t="s">
        <v>75</v>
      </c>
      <c r="D9" s="10" t="s">
        <v>76</v>
      </c>
      <c r="E9" s="10" t="s">
        <v>77</v>
      </c>
      <c r="F9" s="10"/>
      <c r="G9" s="10"/>
      <c r="H9" s="6">
        <v>44316</v>
      </c>
      <c r="I9" s="8" t="s">
        <v>30</v>
      </c>
      <c r="J9" s="5" t="s">
        <v>78</v>
      </c>
      <c r="K9" s="4"/>
      <c r="L9" s="5" t="s">
        <v>79</v>
      </c>
      <c r="M9" s="4"/>
      <c r="N9" s="10" t="s">
        <v>80</v>
      </c>
      <c r="O9" s="10"/>
      <c r="P9" s="10" t="s">
        <v>81</v>
      </c>
      <c r="Q9" s="10"/>
      <c r="R9" s="10"/>
      <c r="S9" s="4"/>
      <c r="T9" s="4"/>
      <c r="U9" s="14" t="s">
        <v>41</v>
      </c>
      <c r="V9" s="14" t="s">
        <v>82</v>
      </c>
      <c r="W9" s="24" t="s">
        <v>83</v>
      </c>
      <c r="X9" s="24" t="s">
        <v>23</v>
      </c>
      <c r="Y9" s="24" t="s">
        <v>84</v>
      </c>
      <c r="Z9" s="39" t="s">
        <v>32</v>
      </c>
      <c r="AA9" s="39" t="s">
        <v>32</v>
      </c>
    </row>
    <row r="10" spans="1:27" ht="31.5" customHeight="1" x14ac:dyDescent="0.25">
      <c r="A10" s="9" t="s">
        <v>85</v>
      </c>
      <c r="B10" s="7" t="s">
        <v>86</v>
      </c>
      <c r="C10" s="7" t="s">
        <v>87</v>
      </c>
      <c r="D10" s="7" t="s">
        <v>88</v>
      </c>
      <c r="E10" s="7" t="s">
        <v>26</v>
      </c>
      <c r="F10" s="7"/>
      <c r="G10" s="7"/>
      <c r="H10" s="6">
        <v>44426</v>
      </c>
      <c r="I10" s="8" t="s">
        <v>89</v>
      </c>
      <c r="J10" s="5" t="s">
        <v>90</v>
      </c>
      <c r="K10" s="4"/>
      <c r="L10" s="71"/>
      <c r="M10" s="4"/>
      <c r="N10" s="21" t="s">
        <v>111</v>
      </c>
      <c r="O10" s="72">
        <v>1300212.78</v>
      </c>
      <c r="P10" s="7" t="s">
        <v>91</v>
      </c>
      <c r="Q10" s="7"/>
      <c r="R10" s="7"/>
      <c r="S10" s="4"/>
      <c r="T10" s="4"/>
      <c r="U10" s="14" t="s">
        <v>92</v>
      </c>
      <c r="V10" s="14" t="s">
        <v>93</v>
      </c>
      <c r="W10" s="24" t="s">
        <v>94</v>
      </c>
      <c r="X10" s="24"/>
      <c r="Y10" s="24"/>
      <c r="Z10" s="40"/>
      <c r="AA10" s="40" t="s">
        <v>32</v>
      </c>
    </row>
    <row r="11" spans="1:27" ht="31.5" customHeight="1" x14ac:dyDescent="0.25">
      <c r="A11" s="9"/>
      <c r="B11" s="7" t="s">
        <v>95</v>
      </c>
      <c r="C11" s="7" t="s">
        <v>87</v>
      </c>
      <c r="D11" s="7" t="s">
        <v>88</v>
      </c>
      <c r="E11" s="7" t="s">
        <v>26</v>
      </c>
      <c r="F11" s="7"/>
      <c r="G11" s="7"/>
      <c r="H11" s="6">
        <v>44426</v>
      </c>
      <c r="I11" s="8" t="s">
        <v>89</v>
      </c>
      <c r="J11" s="5" t="s">
        <v>96</v>
      </c>
      <c r="K11" s="4"/>
      <c r="L11" s="71"/>
      <c r="M11" s="4"/>
      <c r="N11" s="21" t="s">
        <v>112</v>
      </c>
      <c r="O11" s="73">
        <v>435467</v>
      </c>
      <c r="P11" s="7" t="s">
        <v>97</v>
      </c>
      <c r="Q11" s="7"/>
      <c r="R11" s="7"/>
      <c r="S11" s="4"/>
      <c r="T11" s="4"/>
      <c r="U11" s="14" t="s">
        <v>92</v>
      </c>
      <c r="V11" s="14" t="s">
        <v>93</v>
      </c>
      <c r="W11" s="24" t="s">
        <v>94</v>
      </c>
      <c r="X11" s="24"/>
      <c r="Y11" s="24"/>
      <c r="Z11" s="40"/>
      <c r="AA11" s="40" t="s">
        <v>32</v>
      </c>
    </row>
    <row r="12" spans="1:27" ht="19.5" customHeight="1" x14ac:dyDescent="0.25">
      <c r="A12" s="9" t="s">
        <v>98</v>
      </c>
      <c r="B12" s="7" t="s">
        <v>99</v>
      </c>
      <c r="C12" s="7"/>
      <c r="D12" s="7" t="s">
        <v>100</v>
      </c>
      <c r="E12" s="11"/>
      <c r="F12" s="11"/>
      <c r="G12" s="11"/>
      <c r="H12" s="12"/>
      <c r="I12" s="13"/>
      <c r="J12" s="7" t="s">
        <v>101</v>
      </c>
      <c r="K12" s="4"/>
      <c r="L12" s="4"/>
      <c r="M12" s="4"/>
      <c r="N12" s="4"/>
      <c r="O12" s="4"/>
      <c r="P12" s="4"/>
      <c r="Q12" s="4"/>
      <c r="R12" s="4"/>
      <c r="S12" s="4"/>
      <c r="T12" s="7"/>
      <c r="U12" s="7" t="s">
        <v>25</v>
      </c>
      <c r="V12" s="7" t="s">
        <v>102</v>
      </c>
      <c r="W12" s="10"/>
      <c r="X12" s="7"/>
      <c r="Y12" s="7"/>
      <c r="Z12" s="7"/>
      <c r="AA12" s="69" t="s">
        <v>31</v>
      </c>
    </row>
    <row r="13" spans="1:27" ht="19.5" customHeight="1" x14ac:dyDescent="0.25">
      <c r="A13" s="9" t="s">
        <v>121</v>
      </c>
      <c r="B13" s="14" t="s">
        <v>122</v>
      </c>
      <c r="C13" s="7" t="s">
        <v>123</v>
      </c>
      <c r="D13" s="7" t="s">
        <v>124</v>
      </c>
      <c r="E13" s="11" t="s">
        <v>26</v>
      </c>
      <c r="F13" s="11"/>
      <c r="G13" s="11"/>
      <c r="H13" s="12">
        <v>44550</v>
      </c>
      <c r="I13" s="13" t="s">
        <v>127</v>
      </c>
      <c r="J13" s="7" t="s">
        <v>128</v>
      </c>
      <c r="K13" s="4"/>
      <c r="L13" s="4"/>
      <c r="M13" s="4"/>
      <c r="N13" s="4" t="s">
        <v>132</v>
      </c>
      <c r="O13" s="4" t="s">
        <v>129</v>
      </c>
      <c r="P13" s="4" t="s">
        <v>133</v>
      </c>
      <c r="Q13" s="4"/>
      <c r="R13" s="4"/>
      <c r="S13" s="4"/>
      <c r="T13" s="7"/>
      <c r="U13" s="7" t="s">
        <v>130</v>
      </c>
      <c r="V13" s="7" t="s">
        <v>131</v>
      </c>
      <c r="W13" s="10" t="s">
        <v>125</v>
      </c>
      <c r="X13" s="7"/>
      <c r="Y13" s="7"/>
      <c r="Z13" s="7"/>
      <c r="AA13" s="70" t="s">
        <v>32</v>
      </c>
    </row>
    <row r="14" spans="1:27" ht="180" x14ac:dyDescent="0.25">
      <c r="A14" s="15" t="s">
        <v>49</v>
      </c>
      <c r="B14" s="16" t="s">
        <v>140</v>
      </c>
      <c r="C14" s="16" t="s">
        <v>141</v>
      </c>
      <c r="D14" s="16" t="s">
        <v>142</v>
      </c>
      <c r="E14" s="17" t="s">
        <v>36</v>
      </c>
      <c r="F14" s="18"/>
      <c r="G14" s="18"/>
      <c r="H14" s="19"/>
      <c r="I14" s="18"/>
      <c r="J14" s="20" t="s">
        <v>143</v>
      </c>
      <c r="K14" s="22"/>
      <c r="L14" s="22"/>
      <c r="M14" s="22"/>
      <c r="N14" s="22"/>
      <c r="O14" s="22" t="s">
        <v>144</v>
      </c>
      <c r="P14" s="22"/>
      <c r="Q14" s="22"/>
      <c r="R14" s="22"/>
      <c r="S14" s="22"/>
      <c r="T14" s="22"/>
      <c r="U14" s="22" t="s">
        <v>145</v>
      </c>
      <c r="V14" s="22" t="s">
        <v>146</v>
      </c>
      <c r="W14" s="22"/>
      <c r="X14" s="22"/>
      <c r="Y14" s="22"/>
      <c r="Z14" s="22"/>
      <c r="AA14" s="22"/>
    </row>
    <row r="15" spans="1:27" s="74" customFormat="1" ht="105" x14ac:dyDescent="0.25">
      <c r="A15" s="47" t="s">
        <v>149</v>
      </c>
      <c r="B15" s="16" t="s">
        <v>150</v>
      </c>
      <c r="C15" s="16"/>
      <c r="D15" s="16"/>
      <c r="E15" s="16" t="s">
        <v>36</v>
      </c>
      <c r="F15" s="16" t="s">
        <v>151</v>
      </c>
      <c r="G15" s="48"/>
      <c r="H15" s="47">
        <v>43777</v>
      </c>
      <c r="I15" s="48" t="s">
        <v>166</v>
      </c>
      <c r="J15" s="20" t="s">
        <v>153</v>
      </c>
      <c r="K15" s="75"/>
      <c r="L15" s="75"/>
      <c r="M15" s="75"/>
      <c r="N15" s="75"/>
      <c r="O15" s="75" t="s">
        <v>165</v>
      </c>
      <c r="P15" s="75"/>
      <c r="Q15" s="75"/>
      <c r="R15" s="75"/>
      <c r="S15" s="75"/>
      <c r="T15" s="75"/>
      <c r="U15" s="75"/>
      <c r="V15" s="75"/>
      <c r="W15" s="75" t="s">
        <v>167</v>
      </c>
      <c r="X15" s="75"/>
      <c r="Y15" s="75"/>
      <c r="Z15" s="75"/>
      <c r="AA15" s="76" t="s">
        <v>32</v>
      </c>
    </row>
    <row r="16" spans="1:27" x14ac:dyDescent="0.25">
      <c r="A16" s="15" t="s">
        <v>154</v>
      </c>
      <c r="B16" s="17" t="s">
        <v>150</v>
      </c>
      <c r="C16" s="16"/>
      <c r="D16" s="16"/>
      <c r="E16" s="17" t="s">
        <v>36</v>
      </c>
      <c r="F16" s="18"/>
      <c r="G16" s="18"/>
      <c r="H16" s="19" t="s">
        <v>152</v>
      </c>
      <c r="I16" s="18"/>
      <c r="J16" s="21" t="s">
        <v>155</v>
      </c>
      <c r="K16" s="22"/>
      <c r="L16" s="22"/>
      <c r="M16" s="22"/>
      <c r="N16" s="22"/>
      <c r="O16" s="22"/>
      <c r="P16" s="22"/>
      <c r="Q16" s="22"/>
      <c r="R16" s="22"/>
      <c r="S16" s="22"/>
      <c r="T16" s="22"/>
      <c r="U16" s="22"/>
      <c r="V16" s="22"/>
      <c r="W16" s="22" t="s">
        <v>156</v>
      </c>
      <c r="X16" s="22"/>
      <c r="Y16" s="22" t="s">
        <v>157</v>
      </c>
      <c r="Z16" s="22"/>
      <c r="AA16" s="22"/>
    </row>
    <row r="17" spans="1:27" s="77" customFormat="1" ht="165" x14ac:dyDescent="0.25">
      <c r="A17" s="15" t="s">
        <v>161</v>
      </c>
      <c r="B17" s="16" t="s">
        <v>179</v>
      </c>
      <c r="C17" s="16" t="s">
        <v>180</v>
      </c>
      <c r="D17" s="16" t="s">
        <v>181</v>
      </c>
      <c r="E17" s="17" t="s">
        <v>162</v>
      </c>
      <c r="F17" s="18"/>
      <c r="G17" s="18"/>
      <c r="H17" s="19">
        <v>44680</v>
      </c>
      <c r="I17" s="18" t="s">
        <v>182</v>
      </c>
      <c r="J17" s="20" t="s">
        <v>183</v>
      </c>
      <c r="K17" s="22"/>
      <c r="L17" s="22"/>
      <c r="M17" s="22"/>
      <c r="N17" s="22"/>
      <c r="O17" s="22"/>
      <c r="P17" s="20" t="s">
        <v>184</v>
      </c>
      <c r="Q17" s="22"/>
      <c r="R17" s="22"/>
      <c r="S17" s="22"/>
      <c r="T17" s="22"/>
      <c r="U17" s="20" t="s">
        <v>176</v>
      </c>
      <c r="V17" s="22"/>
      <c r="W17" s="21" t="s">
        <v>163</v>
      </c>
      <c r="X17" s="22"/>
      <c r="Y17" s="21" t="s">
        <v>164</v>
      </c>
      <c r="Z17" s="36" t="s">
        <v>31</v>
      </c>
      <c r="AA17" s="36" t="s">
        <v>31</v>
      </c>
    </row>
    <row r="18" spans="1:27" s="77" customFormat="1" ht="75" x14ac:dyDescent="0.25">
      <c r="A18" s="15" t="s">
        <v>161</v>
      </c>
      <c r="B18" s="16" t="s">
        <v>223</v>
      </c>
      <c r="C18" s="16" t="s">
        <v>224</v>
      </c>
      <c r="D18" s="16" t="s">
        <v>225</v>
      </c>
      <c r="E18" s="17" t="s">
        <v>226</v>
      </c>
      <c r="F18" s="18"/>
      <c r="G18" s="18"/>
      <c r="H18" s="19">
        <v>44713</v>
      </c>
      <c r="I18" s="18" t="s">
        <v>107</v>
      </c>
      <c r="J18" s="20" t="s">
        <v>227</v>
      </c>
      <c r="K18" s="22"/>
      <c r="L18" s="22"/>
      <c r="M18" s="22"/>
      <c r="N18" s="22"/>
      <c r="O18" s="22"/>
      <c r="P18" s="20"/>
      <c r="Q18" s="22"/>
      <c r="R18" s="22"/>
      <c r="S18" s="22"/>
      <c r="T18" s="22"/>
      <c r="U18" s="20" t="s">
        <v>176</v>
      </c>
      <c r="V18" s="22"/>
      <c r="W18" s="21" t="s">
        <v>228</v>
      </c>
      <c r="X18" s="21" t="s">
        <v>229</v>
      </c>
      <c r="Y18" s="21" t="s">
        <v>230</v>
      </c>
      <c r="Z18" s="36" t="s">
        <v>32</v>
      </c>
      <c r="AA18" s="36" t="s">
        <v>32</v>
      </c>
    </row>
    <row r="19" spans="1:27" s="77" customFormat="1" ht="105" x14ac:dyDescent="0.25">
      <c r="A19" s="15" t="s">
        <v>168</v>
      </c>
      <c r="B19" s="16" t="s">
        <v>169</v>
      </c>
      <c r="C19" s="16" t="s">
        <v>170</v>
      </c>
      <c r="D19" s="16" t="s">
        <v>171</v>
      </c>
      <c r="E19" s="17"/>
      <c r="F19" s="18"/>
      <c r="G19" s="18"/>
      <c r="H19" s="19">
        <v>44683</v>
      </c>
      <c r="I19" s="18" t="s">
        <v>89</v>
      </c>
      <c r="J19" s="20" t="s">
        <v>172</v>
      </c>
      <c r="K19" s="22"/>
      <c r="L19" s="22"/>
      <c r="M19" s="22"/>
      <c r="N19" s="22"/>
      <c r="O19" s="22"/>
      <c r="P19" s="75" t="s">
        <v>173</v>
      </c>
      <c r="Q19" s="20" t="s">
        <v>175</v>
      </c>
      <c r="R19" s="22"/>
      <c r="S19" s="22"/>
      <c r="T19" s="22"/>
      <c r="U19" s="20" t="s">
        <v>176</v>
      </c>
      <c r="V19" s="22"/>
      <c r="W19" s="22" t="s">
        <v>177</v>
      </c>
      <c r="X19" s="22" t="s">
        <v>72</v>
      </c>
      <c r="Y19" s="22" t="s">
        <v>178</v>
      </c>
      <c r="Z19" s="23"/>
      <c r="AA19" s="23"/>
    </row>
    <row r="20" spans="1:27" s="77" customFormat="1" ht="120" x14ac:dyDescent="0.25">
      <c r="A20" s="15" t="s">
        <v>204</v>
      </c>
      <c r="B20" s="16" t="s">
        <v>205</v>
      </c>
      <c r="C20" s="16" t="s">
        <v>206</v>
      </c>
      <c r="D20" s="16" t="s">
        <v>207</v>
      </c>
      <c r="E20" s="17" t="s">
        <v>189</v>
      </c>
      <c r="F20" s="18"/>
      <c r="G20" s="18"/>
      <c r="H20" s="19">
        <v>44707</v>
      </c>
      <c r="I20" s="18"/>
      <c r="J20" s="20" t="s">
        <v>208</v>
      </c>
      <c r="K20" s="22"/>
      <c r="L20" s="22"/>
      <c r="M20" s="22"/>
      <c r="N20" s="20" t="s">
        <v>192</v>
      </c>
      <c r="O20" s="22"/>
      <c r="P20" s="20" t="s">
        <v>209</v>
      </c>
      <c r="Q20" s="20"/>
      <c r="R20" s="22"/>
      <c r="S20" s="22"/>
      <c r="T20" s="22"/>
      <c r="U20" s="20" t="s">
        <v>210</v>
      </c>
      <c r="V20" s="22"/>
      <c r="W20" s="22" t="s">
        <v>211</v>
      </c>
      <c r="X20" s="22" t="s">
        <v>23</v>
      </c>
      <c r="Y20" s="22" t="s">
        <v>212</v>
      </c>
      <c r="Z20" s="23"/>
      <c r="AA20" s="23" t="s">
        <v>31</v>
      </c>
    </row>
    <row r="21" spans="1:27" s="77" customFormat="1" ht="90" x14ac:dyDescent="0.25">
      <c r="A21" s="15" t="s">
        <v>185</v>
      </c>
      <c r="B21" s="16" t="s">
        <v>196</v>
      </c>
      <c r="C21" s="16" t="s">
        <v>197</v>
      </c>
      <c r="D21" s="16" t="s">
        <v>198</v>
      </c>
      <c r="E21" s="17" t="s">
        <v>189</v>
      </c>
      <c r="F21" s="18"/>
      <c r="G21" s="18"/>
      <c r="H21" s="19">
        <v>44701</v>
      </c>
      <c r="I21" s="18"/>
      <c r="J21" s="20" t="s">
        <v>199</v>
      </c>
      <c r="K21" s="22"/>
      <c r="L21" s="22"/>
      <c r="M21" s="22"/>
      <c r="N21" s="20" t="s">
        <v>192</v>
      </c>
      <c r="O21" s="22"/>
      <c r="P21" s="20" t="s">
        <v>200</v>
      </c>
      <c r="Q21" s="20"/>
      <c r="R21" s="22"/>
      <c r="S21" s="22"/>
      <c r="T21" s="22"/>
      <c r="U21" s="20" t="s">
        <v>201</v>
      </c>
      <c r="V21" s="22"/>
      <c r="W21" s="22" t="s">
        <v>202</v>
      </c>
      <c r="X21" s="22" t="s">
        <v>23</v>
      </c>
      <c r="Y21" s="22" t="s">
        <v>203</v>
      </c>
      <c r="Z21" s="23"/>
      <c r="AA21" s="23" t="s">
        <v>31</v>
      </c>
    </row>
    <row r="22" spans="1:27" s="77" customFormat="1" ht="90" x14ac:dyDescent="0.25">
      <c r="A22" s="15" t="s">
        <v>185</v>
      </c>
      <c r="B22" s="16" t="s">
        <v>186</v>
      </c>
      <c r="C22" s="16" t="s">
        <v>187</v>
      </c>
      <c r="D22" s="16" t="s">
        <v>188</v>
      </c>
      <c r="E22" s="17" t="s">
        <v>189</v>
      </c>
      <c r="F22" s="18"/>
      <c r="G22" s="18"/>
      <c r="H22" s="19">
        <v>44673</v>
      </c>
      <c r="I22" s="18"/>
      <c r="J22" s="20" t="s">
        <v>190</v>
      </c>
      <c r="K22" s="22"/>
      <c r="L22" s="22"/>
      <c r="M22" s="22"/>
      <c r="N22" s="20" t="s">
        <v>192</v>
      </c>
      <c r="O22" s="22"/>
      <c r="P22" s="20" t="s">
        <v>191</v>
      </c>
      <c r="Q22" s="20"/>
      <c r="R22" s="22"/>
      <c r="S22" s="22"/>
      <c r="T22" s="22"/>
      <c r="U22" s="20" t="s">
        <v>193</v>
      </c>
      <c r="V22" s="22"/>
      <c r="W22" s="22" t="s">
        <v>194</v>
      </c>
      <c r="X22" s="22" t="s">
        <v>23</v>
      </c>
      <c r="Y22" s="22" t="s">
        <v>195</v>
      </c>
      <c r="Z22" s="23"/>
      <c r="AA22" s="23" t="s">
        <v>32</v>
      </c>
    </row>
    <row r="23" spans="1:27" s="80" customFormat="1" ht="90" x14ac:dyDescent="0.25">
      <c r="A23" s="47" t="s">
        <v>240</v>
      </c>
      <c r="B23" s="16" t="s">
        <v>241</v>
      </c>
      <c r="C23" s="16" t="s">
        <v>242</v>
      </c>
      <c r="D23" s="16" t="s">
        <v>243</v>
      </c>
      <c r="E23" s="16"/>
      <c r="F23" s="48"/>
      <c r="G23" s="48"/>
      <c r="H23" s="78">
        <v>43252</v>
      </c>
      <c r="I23" s="48" t="s">
        <v>245</v>
      </c>
      <c r="J23" s="20" t="s">
        <v>244</v>
      </c>
      <c r="K23" s="75"/>
      <c r="L23" s="75"/>
      <c r="M23" s="75"/>
      <c r="N23" s="20"/>
      <c r="O23" s="75"/>
      <c r="P23" s="20"/>
      <c r="Q23" s="20"/>
      <c r="R23" s="75"/>
      <c r="S23" s="75"/>
      <c r="T23" s="75"/>
      <c r="U23" s="20"/>
      <c r="V23" s="75"/>
      <c r="W23" s="75"/>
      <c r="X23" s="75"/>
      <c r="Y23" s="75"/>
      <c r="Z23" s="79"/>
      <c r="AA23" s="79" t="s">
        <v>32</v>
      </c>
    </row>
    <row r="24" spans="1:27" s="83" customFormat="1" ht="195" x14ac:dyDescent="0.25">
      <c r="A24" s="47" t="s">
        <v>158</v>
      </c>
      <c r="B24" s="16" t="s">
        <v>159</v>
      </c>
      <c r="C24" s="16" t="s">
        <v>246</v>
      </c>
      <c r="D24" s="16" t="s">
        <v>247</v>
      </c>
      <c r="E24" s="16" t="s">
        <v>248</v>
      </c>
      <c r="F24" s="16"/>
      <c r="G24" s="16"/>
      <c r="H24" s="47">
        <v>44790</v>
      </c>
      <c r="I24" s="81" t="s">
        <v>249</v>
      </c>
      <c r="J24" s="20" t="s">
        <v>160</v>
      </c>
      <c r="K24" s="20"/>
      <c r="L24" s="20"/>
      <c r="M24" s="20"/>
      <c r="N24" s="20"/>
      <c r="O24" s="20"/>
      <c r="P24" s="20" t="s">
        <v>250</v>
      </c>
      <c r="Q24" s="20"/>
      <c r="R24" s="20"/>
      <c r="S24" s="20"/>
      <c r="T24" s="20"/>
      <c r="U24" s="20"/>
      <c r="V24" s="20"/>
      <c r="W24" s="20" t="s">
        <v>251</v>
      </c>
      <c r="X24" s="20"/>
      <c r="Y24" s="20"/>
      <c r="Z24" s="20"/>
      <c r="AA24" s="82" t="s">
        <v>31</v>
      </c>
    </row>
    <row r="25" spans="1:27" ht="16.5" customHeight="1" x14ac:dyDescent="0.25">
      <c r="A25" s="44" t="s">
        <v>134</v>
      </c>
      <c r="B25" s="45" t="s">
        <v>135</v>
      </c>
      <c r="C25" s="84" t="s">
        <v>87</v>
      </c>
      <c r="D25" s="84" t="s">
        <v>136</v>
      </c>
      <c r="E25" s="45" t="s">
        <v>248</v>
      </c>
      <c r="F25" s="45"/>
      <c r="G25" s="45"/>
      <c r="H25" s="44">
        <v>43929</v>
      </c>
      <c r="I25" s="46" t="s">
        <v>89</v>
      </c>
      <c r="J25" s="85" t="s">
        <v>103</v>
      </c>
      <c r="K25" s="85"/>
      <c r="L25" s="85"/>
      <c r="M25" s="85"/>
      <c r="N25" s="85"/>
      <c r="O25" s="86" t="s">
        <v>137</v>
      </c>
      <c r="P25" s="85" t="s">
        <v>138</v>
      </c>
      <c r="Q25" s="85"/>
      <c r="R25" s="85"/>
      <c r="S25" s="85"/>
      <c r="T25" s="85"/>
      <c r="U25" s="85" t="s">
        <v>92</v>
      </c>
      <c r="V25" s="85" t="s">
        <v>104</v>
      </c>
      <c r="W25" s="85" t="s">
        <v>105</v>
      </c>
      <c r="X25" s="85" t="s">
        <v>72</v>
      </c>
      <c r="Y25" s="85" t="s">
        <v>106</v>
      </c>
      <c r="Z25" s="23" t="s">
        <v>31</v>
      </c>
      <c r="AA25" s="43" t="s">
        <v>31</v>
      </c>
    </row>
  </sheetData>
  <autoFilter ref="A1:AA25"/>
  <hyperlinks>
    <hyperlink ref="AA5" r:id="rId1"/>
    <hyperlink ref="AA7" r:id="rId2"/>
    <hyperlink ref="R8" r:id="rId3"/>
    <hyperlink ref="AA8" r:id="rId4"/>
    <hyperlink ref="Z9" r:id="rId5"/>
    <hyperlink ref="AA9" r:id="rId6"/>
    <hyperlink ref="AA10" r:id="rId7"/>
    <hyperlink ref="AA11" r:id="rId8"/>
    <hyperlink ref="AA12" r:id="rId9"/>
    <hyperlink ref="AA6" r:id="rId10"/>
    <hyperlink ref="AA13" r:id="rId11"/>
    <hyperlink ref="Z25" r:id="rId12"/>
    <hyperlink ref="Z6" r:id="rId13"/>
    <hyperlink ref="AA25" r:id="rId14"/>
    <hyperlink ref="Z17" r:id="rId15"/>
    <hyperlink ref="AA17" r:id="rId16"/>
    <hyperlink ref="AA15" r:id="rId17"/>
    <hyperlink ref="AA22" r:id="rId18"/>
    <hyperlink ref="AA21" r:id="rId19"/>
    <hyperlink ref="AA20" r:id="rId20"/>
    <hyperlink ref="AA2" r:id="rId21"/>
    <hyperlink ref="AA23" r:id="rId22"/>
    <hyperlink ref="AA24" r:id="rId23"/>
  </hyperlinks>
  <pageMargins left="0.7" right="0.7" top="0.75" bottom="0.75"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471</TotalTime>
  <Application>Microsoft Excel</Application>
  <DocSecurity>0</DocSecurity>
  <ScaleCrop>false</ScaleCrop>
  <HeadingPairs>
    <vt:vector size="2" baseType="variant">
      <vt:variant>
        <vt:lpstr>Hojas de cálculo</vt:lpstr>
      </vt:variant>
      <vt:variant>
        <vt:i4>9</vt:i4>
      </vt:variant>
    </vt:vector>
  </HeadingPairs>
  <TitlesOfParts>
    <vt:vector size="9" baseType="lpstr">
      <vt:lpstr>Entrada de Datos</vt:lpstr>
      <vt:lpstr>Tipo de Actividad</vt:lpstr>
      <vt:lpstr>Empresa-Institucion</vt:lpstr>
      <vt:lpstr>Coordinador de la Organización</vt:lpstr>
      <vt:lpstr>Inst-Dpto FCEFN</vt:lpstr>
      <vt:lpstr>Coordinador FCEFN</vt:lpstr>
      <vt:lpstr>Renovacion por meses</vt:lpstr>
      <vt:lpstr>Moneda</vt:lpstr>
      <vt:lpstr>Convenios y Actas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PC</dc:creator>
  <dc:description/>
  <cp:lastModifiedBy>Luis Olguin</cp:lastModifiedBy>
  <cp:revision>3</cp:revision>
  <cp:lastPrinted>2022-11-29T14:10:15Z</cp:lastPrinted>
  <dcterms:created xsi:type="dcterms:W3CDTF">2016-11-29T13:54:02Z</dcterms:created>
  <dcterms:modified xsi:type="dcterms:W3CDTF">2022-11-29T14:14:49Z</dcterms:modified>
  <dc:language>es-AR</dc:language>
</cp:coreProperties>
</file>